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V1 Beide Vollzeit" sheetId="2" state="visible" r:id="rId2"/>
    <sheet xmlns:r="http://schemas.openxmlformats.org/officeDocument/2006/relationships" name="V2 Dom 50%" sheetId="3" state="visible" r:id="rId3"/>
    <sheet xmlns:r="http://schemas.openxmlformats.org/officeDocument/2006/relationships" name="V3 Beide 35h" sheetId="4" state="visible" r:id="rId4"/>
    <sheet xmlns:r="http://schemas.openxmlformats.org/officeDocument/2006/relationships" name="V4 Paul 28h" sheetId="5" state="visible" r:id="rId5"/>
    <sheet xmlns:r="http://schemas.openxmlformats.org/officeDocument/2006/relationships" name="V5 Paul 21h" sheetId="6" state="visible" r:id="rId6"/>
    <sheet xmlns:r="http://schemas.openxmlformats.org/officeDocument/2006/relationships" name="V6 TM 5d Vollzeit" sheetId="7" state="visible" r:id="rId7"/>
    <sheet xmlns:r="http://schemas.openxmlformats.org/officeDocument/2006/relationships" name="V7 TM 5d Beide 35h" sheetId="8" state="visible" r:id="rId8"/>
    <sheet xmlns:r="http://schemas.openxmlformats.org/officeDocument/2006/relationships" name="V8 TM 3d Paul28 Dom50" sheetId="9" state="visible" r:id="rId9"/>
    <sheet xmlns:r="http://schemas.openxmlformats.org/officeDocument/2006/relationships" name="V9 TM 2d Paul21 Dom50" sheetId="10" state="visible" r:id="rId10"/>
    <sheet xmlns:r="http://schemas.openxmlformats.org/officeDocument/2006/relationships" name="V10 TM 20h Paul35-4d" sheetId="11" state="visible" r:id="rId11"/>
    <sheet xmlns:r="http://schemas.openxmlformats.org/officeDocument/2006/relationships" name="V11 TM 16h Paul35-4d" sheetId="12" state="visible" r:id="rId12"/>
    <sheet xmlns:r="http://schemas.openxmlformats.org/officeDocument/2006/relationships" name="Verglei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666666"/>
      <sz val="10"/>
    </font>
    <font>
      <name val="Arial"/>
      <b val="1"/>
      <color rgb="001F4E78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4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F81BD"/>
      </patternFill>
    </fill>
    <fill>
      <patternFill patternType="solid">
        <fgColor rgb="009BBB59"/>
      </patternFill>
    </fill>
    <fill>
      <patternFill patternType="solid">
        <fgColor rgb="00BFBFBF"/>
      </patternFill>
    </fill>
    <fill>
      <patternFill patternType="solid">
        <fgColor rgb="00F2DCDB"/>
      </patternFill>
    </fill>
    <fill>
      <patternFill patternType="solid">
        <fgColor rgb="00F8CBAD"/>
      </patternFill>
    </fill>
    <fill>
      <patternFill patternType="solid">
        <fgColor rgb="00B284BE"/>
      </patternFill>
    </fill>
    <fill>
      <patternFill patternType="solid">
        <fgColor rgb="00FFFFFF"/>
      </patternFill>
    </fill>
    <fill>
      <patternFill patternType="solid">
        <fgColor rgb="0092D050"/>
      </patternFill>
    </fill>
    <fill>
      <patternFill patternType="solid">
        <fgColor rgb="00FF6B6B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7" fillId="1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5" fontId="4" fillId="14" borderId="1" applyAlignment="1" pivotButton="0" quotePrefix="0" xfId="0">
      <alignment horizontal="center" vertical="center" wrapText="1"/>
    </xf>
    <xf numFmtId="164" fontId="4" fillId="14" borderId="1" applyAlignment="1" pivotButton="0" quotePrefix="0" xfId="0">
      <alignment horizontal="center" vertical="center" wrapText="1"/>
    </xf>
    <xf numFmtId="164" fontId="0" fillId="14" borderId="1" pivotButton="0" quotePrefix="0" xfId="0"/>
    <xf numFmtId="164" fontId="4" fillId="14" borderId="1" pivotButton="0" quotePrefix="0" xfId="0"/>
    <xf numFmtId="164" fontId="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38" customWidth="1" min="3" max="3"/>
  </cols>
  <sheetData>
    <row r="2">
      <c r="B2" s="1" t="inlineStr">
        <is>
          <t>Betreuungsplanung Niklas Tom-Hardy – V0.03</t>
        </is>
      </c>
    </row>
    <row r="3">
      <c r="B3" s="2" t="inlineStr">
        <is>
          <t>Update V0.03: + Varianten V10 &amp; V11 (Paul 35h auf 4 Tage, Dom 20h, TM Mo/Di/Do bzw. nur Mo/Di). Zeitraster auf 18:00 erweitert.</t>
        </is>
      </c>
    </row>
    <row r="5">
      <c r="B5" s="3" t="inlineStr">
        <is>
          <t>Annahmen &amp; Rahmenbedingungen</t>
        </is>
      </c>
    </row>
    <row r="6">
      <c r="B6" s="4" t="inlineStr">
        <is>
          <t>Paul – Vollzeit (40h/Woche)</t>
        </is>
      </c>
      <c r="C6" s="5" t="inlineStr">
        <is>
          <t>96.000 € / Jahr brutto</t>
        </is>
      </c>
    </row>
    <row r="7">
      <c r="B7" s="4" t="inlineStr">
        <is>
          <t>Dominique – Vollzeit (40h/Woche)</t>
        </is>
      </c>
      <c r="C7" s="5" t="inlineStr">
        <is>
          <t>84.000 € / Jahr brutto</t>
        </is>
      </c>
    </row>
    <row r="8">
      <c r="B8" s="4" t="inlineStr">
        <is>
          <t>Paul – Anfahrt</t>
        </is>
      </c>
      <c r="C8" s="5" t="inlineStr">
        <is>
          <t>30 Min. mit Auto</t>
        </is>
      </c>
    </row>
    <row r="9">
      <c r="B9" s="4" t="inlineStr">
        <is>
          <t>Dominique – Anfahrt</t>
        </is>
      </c>
      <c r="C9" s="5" t="inlineStr">
        <is>
          <t>15 Min. zu Fuß</t>
        </is>
      </c>
    </row>
    <row r="10">
      <c r="B10" s="4" t="inlineStr">
        <is>
          <t>Tagesmutter – Standard-Öffnungszeit</t>
        </is>
      </c>
      <c r="C10" s="5" t="inlineStr">
        <is>
          <t>07:30 – 13:00 (5,5h/Tag); abweichend in V10/V11</t>
        </is>
      </c>
    </row>
    <row r="11">
      <c r="B11" s="4" t="inlineStr">
        <is>
          <t>Bringen</t>
        </is>
      </c>
      <c r="C11" s="5" t="inlineStr">
        <is>
          <t>07:30 – Paul mit Auto, Dom. zu Fuß</t>
        </is>
      </c>
    </row>
    <row r="12">
      <c r="B12" s="4" t="inlineStr">
        <is>
          <t>Plan-Raster</t>
        </is>
      </c>
      <c r="C12" s="5" t="inlineStr">
        <is>
          <t>07:30 – 18:00 in 30-Min-Slots</t>
        </is>
      </c>
    </row>
    <row r="13">
      <c r="B13" s="4" t="inlineStr">
        <is>
          <t>Pausenregel</t>
        </is>
      </c>
      <c r="C13" s="5" t="inlineStr">
        <is>
          <t>&gt;6h Tag = 0,5h unbezahlte Pause</t>
        </is>
      </c>
    </row>
    <row r="14">
      <c r="B14" s="4" t="inlineStr">
        <is>
          <t>Homeoffice-Regel</t>
        </is>
      </c>
      <c r="C14" s="5" t="inlineStr">
        <is>
          <t>Während HO ≈ 50% Eigen-Betreuung</t>
        </is>
      </c>
    </row>
    <row r="15">
      <c r="B15" s="4" t="inlineStr">
        <is>
          <t>Niklas – Alter</t>
        </is>
      </c>
      <c r="C15" s="5" t="inlineStr">
        <is>
          <t>unter 3 Jahre (Anlage 1a 'unter 3 J.')</t>
        </is>
      </c>
    </row>
    <row r="16">
      <c r="B16" s="4" t="inlineStr">
        <is>
          <t>Steuerklassen (Netto)</t>
        </is>
      </c>
      <c r="C16" s="5" t="inlineStr">
        <is>
          <t>IV/IV, verheiratet, 1 Kind, Schätzung 2026</t>
        </is>
      </c>
    </row>
    <row r="19">
      <c r="B19" s="3" t="inlineStr">
        <is>
          <t>Ziel</t>
        </is>
      </c>
    </row>
    <row r="20">
      <c r="B20" s="6" t="inlineStr">
        <is>
          <t>Möglichst viel Zeit mit Niklas, hohes Einkommen, gute Work-Life-Balance.</t>
        </is>
      </c>
    </row>
    <row r="23">
      <c r="B23" s="3" t="inlineStr">
        <is>
          <t>Inhalte / Blätter</t>
        </is>
      </c>
    </row>
    <row r="24">
      <c r="B24" s="4" t="inlineStr">
        <is>
          <t>V1 – Beide Vollzeit (40h)</t>
        </is>
      </c>
      <c r="C24" s="5" t="inlineStr">
        <is>
          <t>Ohne TM.</t>
        </is>
      </c>
    </row>
    <row r="25">
      <c r="B25" s="4" t="inlineStr">
        <is>
          <t>V2 – Paul 40h + Dom 50% (20h)</t>
        </is>
      </c>
      <c r="C25" s="5" t="inlineStr">
        <is>
          <t>Ohne TM.</t>
        </is>
      </c>
    </row>
    <row r="26">
      <c r="B26" s="4" t="inlineStr">
        <is>
          <t>V3 – Beide 35h</t>
        </is>
      </c>
      <c r="C26" s="5" t="inlineStr">
        <is>
          <t>Ohne TM.</t>
        </is>
      </c>
    </row>
    <row r="27">
      <c r="B27" s="4" t="inlineStr">
        <is>
          <t>V4 – Paul 28h (4 Tage) + Dom 40h</t>
        </is>
      </c>
      <c r="C27" s="5" t="inlineStr">
        <is>
          <t>Ohne TM. Paul Fr KOMPLETT FREI.</t>
        </is>
      </c>
    </row>
    <row r="28">
      <c r="B28" s="4" t="inlineStr">
        <is>
          <t>V5 – Paul 21h (3 Tage) + Dom 40h</t>
        </is>
      </c>
      <c r="C28" s="5" t="inlineStr">
        <is>
          <t>Ohne TM. Paul Do/Fr FREI.</t>
        </is>
      </c>
    </row>
    <row r="29">
      <c r="B29" s="4" t="inlineStr">
        <is>
          <t>V6 – TM 5d + Beide 40h</t>
        </is>
      </c>
      <c r="C29" s="5" t="inlineStr">
        <is>
          <t>TM Mo-Fr 07:30-13:00.</t>
        </is>
      </c>
    </row>
    <row r="30">
      <c r="B30" s="4" t="inlineStr">
        <is>
          <t>V7 – TM 5d + Beide 35h</t>
        </is>
      </c>
      <c r="C30" s="5" t="inlineStr">
        <is>
          <t>TM Mo-Fr.</t>
        </is>
      </c>
    </row>
    <row r="31">
      <c r="B31" s="4" t="inlineStr">
        <is>
          <t>V8 – TM 3d + Paul 28h + Dom 50%</t>
        </is>
      </c>
      <c r="C31" s="5" t="inlineStr">
        <is>
          <t>TM Mo/Mi/Fr.</t>
        </is>
      </c>
    </row>
    <row r="32">
      <c r="B32" s="4" t="inlineStr">
        <is>
          <t>V9 – TM 2d + Paul 21h + Dom 50%</t>
        </is>
      </c>
      <c r="C32" s="5" t="inlineStr">
        <is>
          <t>TM Mo/Mi.</t>
        </is>
      </c>
    </row>
    <row r="33">
      <c r="B33" s="4" t="inlineStr">
        <is>
          <t>V10 – TM Mo/Di/Do (20h) + Paul 35h(4d) + Dom 20h</t>
        </is>
      </c>
      <c r="C33" s="5" t="inlineStr">
        <is>
          <t>Paul: Mo/Di HO 9h, Mi Office 9h, Do Office 8h, Fr frei. Dom: Mo/Di Office 8h, Do HO 4h.</t>
        </is>
      </c>
    </row>
    <row r="34">
      <c r="B34" s="4" t="inlineStr">
        <is>
          <t>V11 – TM Mo/Di (16h) + Paul 35h(4d) + Dom 20h</t>
        </is>
      </c>
      <c r="C34" s="5" t="inlineStr">
        <is>
          <t>Wie V10, aber Tagesmutter nur Mo/Di.</t>
        </is>
      </c>
    </row>
    <row r="35">
      <c r="B35" s="4" t="inlineStr">
        <is>
          <t>Vergleich</t>
        </is>
      </c>
      <c r="C35" s="5" t="inlineStr">
        <is>
          <t>Alle Varianten: Brutto, Netto, TM-Kosten, Net-Net.</t>
        </is>
      </c>
    </row>
    <row r="38">
      <c r="A38" s="7" t="inlineStr">
        <is>
          <t>Legende:</t>
        </is>
      </c>
    </row>
    <row r="39">
      <c r="A39" s="8" t="inlineStr"/>
      <c r="B39" s="9" t="inlineStr">
        <is>
          <t>Büro</t>
        </is>
      </c>
    </row>
    <row r="40">
      <c r="A40" s="10" t="inlineStr"/>
      <c r="B40" s="9" t="inlineStr">
        <is>
          <t>Homeoffice (HO) – ca. 50% Eigen-Betreuung möglich</t>
        </is>
      </c>
    </row>
    <row r="41">
      <c r="A41" s="11" t="inlineStr"/>
      <c r="B41" s="9" t="inlineStr">
        <is>
          <t>Pendeln (→Büro / →Home)</t>
        </is>
      </c>
    </row>
    <row r="42">
      <c r="A42" s="12" t="inlineStr"/>
      <c r="B42" s="9" t="inlineStr">
        <is>
          <t>Pause @ Büro (unbezahlt)</t>
        </is>
      </c>
    </row>
    <row r="43">
      <c r="A43" s="13" t="inlineStr"/>
      <c r="B43" s="9" t="inlineStr">
        <is>
          <t>Pause @ Zuhause (unbezahlt)</t>
        </is>
      </c>
    </row>
    <row r="44">
      <c r="A44" s="14" t="inlineStr"/>
      <c r="B44" s="9" t="inlineStr">
        <is>
          <t>Tagesmutter</t>
        </is>
      </c>
    </row>
    <row r="45">
      <c r="A45" s="15" t="inlineStr"/>
      <c r="B45" s="9" t="inlineStr">
        <is>
          <t>Frei / Eltern-Betreuung</t>
        </is>
      </c>
    </row>
    <row r="46">
      <c r="A46" s="16" t="inlineStr"/>
      <c r="B46" s="9" t="inlineStr">
        <is>
          <t>Niklas: betreut</t>
        </is>
      </c>
    </row>
    <row r="47">
      <c r="A47" s="17" t="inlineStr"/>
      <c r="B47" s="9" t="inlineStr">
        <is>
          <t>Niklas: LÜCKE</t>
        </is>
      </c>
    </row>
  </sheetData>
  <mergeCells count="10">
    <mergeCell ref="B45:E45"/>
    <mergeCell ref="B40:E40"/>
    <mergeCell ref="B41:E41"/>
    <mergeCell ref="B43:E43"/>
    <mergeCell ref="B44:E44"/>
    <mergeCell ref="B39:E39"/>
    <mergeCell ref="B47:E47"/>
    <mergeCell ref="B42:E42"/>
    <mergeCell ref="B46:E4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V1 – Beide Vollzeit 40h, ohne Tagesmutter</t>
        </is>
      </c>
    </row>
    <row r="2">
      <c r="A2" s="9" t="inlineStr">
        <is>
          <t>Mo/Di Paul Office + Dom HO; Mi Hybrid (gespiegelt); Do/Fr Paul HO + Dom Office.</t>
        </is>
      </c>
    </row>
    <row r="4">
      <c r="A4" s="19" t="inlineStr">
        <is>
          <t>Wochenplan (07:30–18:00)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Dom frei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Dom frei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Dom frei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Paul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Paul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Dom HO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Dom HO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Dom HO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Paul HO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Paul HO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Dom HO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Dom HO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Dom HO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Paul HO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Paul HO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Dom HO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Dom HO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Dom HO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Paul HO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Paul HO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Dom HO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Dom HO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Dom HO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Paul HO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Paul HO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Dom HO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Dom HO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Dom HO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Paul HO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Paul HO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Dom HO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Dom HO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Dom HO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Paul HO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Paul HO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Dom HO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Dom HO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Dom HO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Paul HO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Paul HO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Dom HO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Dom HO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Dom HO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Paul HO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Paul HO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Dom Pause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Dom Pause</t>
        </is>
      </c>
      <c r="H16" s="24" t="inlineStr">
        <is>
          <t>→Home</t>
        </is>
      </c>
      <c r="I16" s="30" t="inlineStr">
        <is>
          <t>Pause</t>
        </is>
      </c>
      <c r="J16" s="26" t="inlineStr">
        <is>
          <t>Dom Pause</t>
        </is>
      </c>
      <c r="K16" s="30" t="inlineStr">
        <is>
          <t>Pause</t>
        </is>
      </c>
      <c r="L16" s="29" t="inlineStr">
        <is>
          <t>Pause</t>
        </is>
      </c>
      <c r="M16" s="26" t="inlineStr">
        <is>
          <t>Paul Pause</t>
        </is>
      </c>
      <c r="N16" s="30" t="inlineStr">
        <is>
          <t>Pause</t>
        </is>
      </c>
      <c r="O16" s="29" t="inlineStr">
        <is>
          <t>Pause</t>
        </is>
      </c>
      <c r="P16" s="26" t="inlineStr">
        <is>
          <t>Paul Pause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Dom HO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Dom HO</t>
        </is>
      </c>
      <c r="H17" s="30" t="inlineStr">
        <is>
          <t>Pause</t>
        </is>
      </c>
      <c r="I17" s="24" t="inlineStr">
        <is>
          <t>→Büro</t>
        </is>
      </c>
      <c r="J17" s="26" t="inlineStr">
        <is>
          <t>Paul Pause</t>
        </is>
      </c>
      <c r="K17" s="28" t="inlineStr">
        <is>
          <t>HO</t>
        </is>
      </c>
      <c r="L17" s="27" t="inlineStr">
        <is>
          <t>Büro</t>
        </is>
      </c>
      <c r="M17" s="26" t="inlineStr">
        <is>
          <t>Paul HO</t>
        </is>
      </c>
      <c r="N17" s="28" t="inlineStr">
        <is>
          <t>HO</t>
        </is>
      </c>
      <c r="O17" s="27" t="inlineStr">
        <is>
          <t>Büro</t>
        </is>
      </c>
      <c r="P17" s="26" t="inlineStr">
        <is>
          <t>Paul HO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8" t="inlineStr">
        <is>
          <t>HO</t>
        </is>
      </c>
      <c r="L18" s="27" t="inlineStr">
        <is>
          <t>Büro</t>
        </is>
      </c>
      <c r="M18" s="26" t="inlineStr">
        <is>
          <t>Paul HO</t>
        </is>
      </c>
      <c r="N18" s="28" t="inlineStr">
        <is>
          <t>HO</t>
        </is>
      </c>
      <c r="O18" s="27" t="inlineStr">
        <is>
          <t>Büro</t>
        </is>
      </c>
      <c r="P18" s="26" t="inlineStr">
        <is>
          <t>Paul HO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8" t="inlineStr">
        <is>
          <t>HO</t>
        </is>
      </c>
      <c r="L19" s="27" t="inlineStr">
        <is>
          <t>Büro</t>
        </is>
      </c>
      <c r="M19" s="26" t="inlineStr">
        <is>
          <t>Paul HO</t>
        </is>
      </c>
      <c r="N19" s="28" t="inlineStr">
        <is>
          <t>HO</t>
        </is>
      </c>
      <c r="O19" s="27" t="inlineStr">
        <is>
          <t>Büro</t>
        </is>
      </c>
      <c r="P19" s="26" t="inlineStr">
        <is>
          <t>Paul HO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8" t="inlineStr">
        <is>
          <t>HO</t>
        </is>
      </c>
      <c r="L20" s="27" t="inlineStr">
        <is>
          <t>Büro</t>
        </is>
      </c>
      <c r="M20" s="26" t="inlineStr">
        <is>
          <t>Paul HO</t>
        </is>
      </c>
      <c r="N20" s="28" t="inlineStr">
        <is>
          <t>HO</t>
        </is>
      </c>
      <c r="O20" s="27" t="inlineStr">
        <is>
          <t>Büro</t>
        </is>
      </c>
      <c r="P20" s="26" t="inlineStr">
        <is>
          <t>Paul HO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8" t="inlineStr">
        <is>
          <t>HO</t>
        </is>
      </c>
      <c r="L21" s="27" t="inlineStr">
        <is>
          <t>Büro</t>
        </is>
      </c>
      <c r="M21" s="26" t="inlineStr">
        <is>
          <t>Paul HO</t>
        </is>
      </c>
      <c r="N21" s="28" t="inlineStr">
        <is>
          <t>HO</t>
        </is>
      </c>
      <c r="O21" s="27" t="inlineStr">
        <is>
          <t>Büro</t>
        </is>
      </c>
      <c r="P21" s="26" t="inlineStr">
        <is>
          <t>Paul HO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8" t="inlineStr">
        <is>
          <t>HO</t>
        </is>
      </c>
      <c r="L22" s="27" t="inlineStr">
        <is>
          <t>Büro</t>
        </is>
      </c>
      <c r="M22" s="26" t="inlineStr">
        <is>
          <t>Paul HO</t>
        </is>
      </c>
      <c r="N22" s="28" t="inlineStr">
        <is>
          <t>HO</t>
        </is>
      </c>
      <c r="O22" s="27" t="inlineStr">
        <is>
          <t>Büro</t>
        </is>
      </c>
      <c r="P22" s="26" t="inlineStr">
        <is>
          <t>Paul HO</t>
        </is>
      </c>
    </row>
    <row r="23">
      <c r="A23" s="23" t="inlineStr">
        <is>
          <t>15:30</t>
        </is>
      </c>
      <c r="B23" s="27" t="inlineStr">
        <is>
          <t>Büro</t>
        </is>
      </c>
      <c r="C23" s="28" t="inlineStr">
        <is>
          <t>HO</t>
        </is>
      </c>
      <c r="D23" s="26" t="inlineStr">
        <is>
          <t>Dom HO</t>
        </is>
      </c>
      <c r="E23" s="27" t="inlineStr">
        <is>
          <t>Büro</t>
        </is>
      </c>
      <c r="F23" s="28" t="inlineStr">
        <is>
          <t>HO</t>
        </is>
      </c>
      <c r="G23" s="26" t="inlineStr">
        <is>
          <t>Dom HO</t>
        </is>
      </c>
      <c r="H23" s="28" t="inlineStr">
        <is>
          <t>HO</t>
        </is>
      </c>
      <c r="I23" s="27" t="inlineStr">
        <is>
          <t>Büro</t>
        </is>
      </c>
      <c r="J23" s="26" t="inlineStr">
        <is>
          <t>Paul HO</t>
        </is>
      </c>
      <c r="K23" s="28" t="inlineStr">
        <is>
          <t>HO</t>
        </is>
      </c>
      <c r="L23" s="27" t="inlineStr">
        <is>
          <t>Büro</t>
        </is>
      </c>
      <c r="M23" s="26" t="inlineStr">
        <is>
          <t>Paul HO</t>
        </is>
      </c>
      <c r="N23" s="28" t="inlineStr">
        <is>
          <t>HO</t>
        </is>
      </c>
      <c r="O23" s="27" t="inlineStr">
        <is>
          <t>Büro</t>
        </is>
      </c>
      <c r="P23" s="26" t="inlineStr">
        <is>
          <t>Paul HO</t>
        </is>
      </c>
    </row>
    <row r="24">
      <c r="A24" s="23" t="inlineStr">
        <is>
          <t>16:00</t>
        </is>
      </c>
      <c r="B24" s="27" t="inlineStr">
        <is>
          <t>Büro</t>
        </is>
      </c>
      <c r="C24" s="28" t="inlineStr">
        <is>
          <t>HO</t>
        </is>
      </c>
      <c r="D24" s="26" t="inlineStr">
        <is>
          <t>Dom HO</t>
        </is>
      </c>
      <c r="E24" s="27" t="inlineStr">
        <is>
          <t>Büro</t>
        </is>
      </c>
      <c r="F24" s="28" t="inlineStr">
        <is>
          <t>HO</t>
        </is>
      </c>
      <c r="G24" s="26" t="inlineStr">
        <is>
          <t>Dom HO</t>
        </is>
      </c>
      <c r="H24" s="28" t="inlineStr">
        <is>
          <t>HO</t>
        </is>
      </c>
      <c r="I24" s="27" t="inlineStr">
        <is>
          <t>Büro</t>
        </is>
      </c>
      <c r="J24" s="26" t="inlineStr">
        <is>
          <t>Paul HO</t>
        </is>
      </c>
      <c r="K24" s="28" t="inlineStr">
        <is>
          <t>HO</t>
        </is>
      </c>
      <c r="L24" s="27" t="inlineStr">
        <is>
          <t>Büro</t>
        </is>
      </c>
      <c r="M24" s="26" t="inlineStr">
        <is>
          <t>Paul HO</t>
        </is>
      </c>
      <c r="N24" s="28" t="inlineStr">
        <is>
          <t>HO</t>
        </is>
      </c>
      <c r="O24" s="27" t="inlineStr">
        <is>
          <t>Büro</t>
        </is>
      </c>
      <c r="P24" s="26" t="inlineStr">
        <is>
          <t>Paul HO</t>
        </is>
      </c>
    </row>
    <row r="25">
      <c r="A25" s="23" t="inlineStr">
        <is>
          <t>16:30</t>
        </is>
      </c>
      <c r="B25" s="24" t="inlineStr">
        <is>
          <t>→Home</t>
        </is>
      </c>
      <c r="C25" s="25" t="inlineStr">
        <is>
          <t>Frei</t>
        </is>
      </c>
      <c r="D25" s="26" t="inlineStr">
        <is>
          <t>Dom frei</t>
        </is>
      </c>
      <c r="E25" s="24" t="inlineStr">
        <is>
          <t>→Home</t>
        </is>
      </c>
      <c r="F25" s="25" t="inlineStr">
        <is>
          <t>Frei</t>
        </is>
      </c>
      <c r="G25" s="26" t="inlineStr">
        <is>
          <t>Dom frei</t>
        </is>
      </c>
      <c r="H25" s="28" t="inlineStr">
        <is>
          <t>HO</t>
        </is>
      </c>
      <c r="I25" s="27" t="inlineStr">
        <is>
          <t>Büro</t>
        </is>
      </c>
      <c r="J25" s="26" t="inlineStr">
        <is>
          <t>Paul HO</t>
        </is>
      </c>
      <c r="K25" s="25" t="inlineStr">
        <is>
          <t>Frei</t>
        </is>
      </c>
      <c r="L25" s="24" t="inlineStr">
        <is>
          <t>→Home</t>
        </is>
      </c>
      <c r="M25" s="26" t="inlineStr">
        <is>
          <t>Paul frei</t>
        </is>
      </c>
      <c r="N25" s="25" t="inlineStr">
        <is>
          <t>Frei</t>
        </is>
      </c>
      <c r="O25" s="24" t="inlineStr">
        <is>
          <t>→Home</t>
        </is>
      </c>
      <c r="P25" s="26" t="inlineStr">
        <is>
          <t>Paul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7">
      <c r="A27" s="23" t="inlineStr">
        <is>
          <t>17:30</t>
        </is>
      </c>
      <c r="B27" s="25" t="inlineStr">
        <is>
          <t>Frei</t>
        </is>
      </c>
      <c r="C27" s="25" t="inlineStr">
        <is>
          <t>Frei</t>
        </is>
      </c>
      <c r="D27" s="26" t="inlineStr">
        <is>
          <t>Beide frei</t>
        </is>
      </c>
      <c r="E27" s="25" t="inlineStr">
        <is>
          <t>Frei</t>
        </is>
      </c>
      <c r="F27" s="25" t="inlineStr">
        <is>
          <t>Frei</t>
        </is>
      </c>
      <c r="G27" s="26" t="inlineStr">
        <is>
          <t>Beide frei</t>
        </is>
      </c>
      <c r="H27" s="25" t="inlineStr">
        <is>
          <t>Frei</t>
        </is>
      </c>
      <c r="I27" s="25" t="inlineStr">
        <is>
          <t>Frei</t>
        </is>
      </c>
      <c r="J27" s="26" t="inlineStr">
        <is>
          <t>Beide frei</t>
        </is>
      </c>
      <c r="K27" s="25" t="inlineStr">
        <is>
          <t>Frei</t>
        </is>
      </c>
      <c r="L27" s="25" t="inlineStr">
        <is>
          <t>Frei</t>
        </is>
      </c>
      <c r="M27" s="26" t="inlineStr">
        <is>
          <t>Beide frei</t>
        </is>
      </c>
      <c r="N27" s="25" t="inlineStr">
        <is>
          <t>Frei</t>
        </is>
      </c>
      <c r="O27" s="25" t="inlineStr">
        <is>
          <t>Frei</t>
        </is>
      </c>
      <c r="P27" s="26" t="inlineStr">
        <is>
          <t>Beide frei</t>
        </is>
      </c>
    </row>
    <row r="29">
      <c r="A29" s="3" t="inlineStr">
        <is>
          <t>Einkommen &amp; Kosten</t>
        </is>
      </c>
    </row>
    <row r="30">
      <c r="A30" s="31" t="inlineStr"/>
      <c r="B30" s="31" t="inlineStr">
        <is>
          <t>Wochenstd.</t>
        </is>
      </c>
      <c r="C30" s="31" t="inlineStr">
        <is>
          <t>Vollzeit Brutto/J</t>
        </is>
      </c>
      <c r="D30" s="31" t="inlineStr">
        <is>
          <t>Anteil</t>
        </is>
      </c>
      <c r="E30" s="31" t="inlineStr">
        <is>
          <t>Brutto/Mon</t>
        </is>
      </c>
      <c r="F30" s="31" t="inlineStr">
        <is>
          <t>Brutto/Jahr</t>
        </is>
      </c>
      <c r="G30" s="31" t="inlineStr">
        <is>
          <t>Netto/Mon (≈)</t>
        </is>
      </c>
      <c r="H30" s="31" t="inlineStr">
        <is>
          <t>Netto/Jahr (≈)</t>
        </is>
      </c>
    </row>
    <row r="31">
      <c r="A31" s="32" t="inlineStr">
        <is>
          <t>Paul</t>
        </is>
      </c>
      <c r="B31" s="33" t="n">
        <v>40</v>
      </c>
      <c r="C31" s="34" t="n">
        <v>96000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2" t="inlineStr">
        <is>
          <t>Dominique</t>
        </is>
      </c>
      <c r="B32" s="33" t="n">
        <v>40</v>
      </c>
      <c r="C32" s="34" t="n">
        <v>84000</v>
      </c>
      <c r="D32" s="35">
        <f>B32/40</f>
        <v/>
      </c>
      <c r="E32" s="34">
        <f>C32*D32/12</f>
        <v/>
      </c>
      <c r="F32" s="34">
        <f>C32*D32</f>
        <v/>
      </c>
      <c r="G32" s="34">
        <f>IF(E32&gt;=8000,E32*0.6,IF(E32&gt;=7000,E32*0.61,IF(E32&gt;=6000,E32*0.62,IF(E32&gt;=5000,E32*0.64,IF(E32&gt;=4000,E32*0.66,IF(E32&gt;=3000,E32*0.68,E32*0.70))))))</f>
        <v/>
      </c>
      <c r="H32" s="34">
        <f>G32*12</f>
        <v/>
      </c>
    </row>
    <row r="33">
      <c r="A33" s="36" t="inlineStr">
        <is>
          <t>Haushalt gesamt</t>
        </is>
      </c>
      <c r="B33" s="37">
        <f>B31+B32</f>
        <v/>
      </c>
      <c r="C33" s="36" t="n"/>
      <c r="D33" s="36" t="n"/>
      <c r="E33" s="38">
        <f>E31+E32</f>
        <v/>
      </c>
      <c r="F33" s="38">
        <f>F31+F32</f>
        <v/>
      </c>
      <c r="G33" s="38">
        <f>G31+G32</f>
        <v/>
      </c>
      <c r="H33" s="38">
        <f>H31+H32</f>
        <v/>
      </c>
    </row>
    <row r="35">
      <c r="A35" s="7" t="inlineStr">
        <is>
          <t>Haushaltseinkommen lt. Satzung (Brutto -30%)</t>
        </is>
      </c>
      <c r="B35" s="39">
        <f>F33*0.7</f>
        <v/>
      </c>
    </row>
    <row r="36">
      <c r="A36" s="7" t="inlineStr">
        <is>
          <t>Netto-Haushalt / Monat (ohne TM)</t>
        </is>
      </c>
      <c r="B36" s="40">
        <f>G33</f>
        <v/>
      </c>
    </row>
    <row r="38">
      <c r="A38" s="9" t="inlineStr">
        <is>
          <t>Netto-Schätzung: Steuerklasse IV/IV, verheiratet, 1 Kind, 2026 (Quelle: brutto-netto-rechner.info Näherung).</t>
        </is>
      </c>
    </row>
    <row r="40">
      <c r="A40" s="7" t="inlineStr">
        <is>
          <t>Legende:</t>
        </is>
      </c>
    </row>
    <row r="41">
      <c r="A41" s="8" t="inlineStr"/>
      <c r="B41" s="9" t="inlineStr">
        <is>
          <t>Büro</t>
        </is>
      </c>
    </row>
    <row r="42">
      <c r="A42" s="10" t="inlineStr"/>
      <c r="B42" s="9" t="inlineStr">
        <is>
          <t>Homeoffice (HO) – ca. 50% Eigen-Betreuung möglich</t>
        </is>
      </c>
    </row>
    <row r="43">
      <c r="A43" s="11" t="inlineStr"/>
      <c r="B43" s="9" t="inlineStr">
        <is>
          <t>Pendeln (→Büro / →Home)</t>
        </is>
      </c>
    </row>
    <row r="44">
      <c r="A44" s="12" t="inlineStr"/>
      <c r="B44" s="9" t="inlineStr">
        <is>
          <t>Pause @ Büro (unbezahlt)</t>
        </is>
      </c>
    </row>
    <row r="45">
      <c r="A45" s="13" t="inlineStr"/>
      <c r="B45" s="9" t="inlineStr">
        <is>
          <t>Pause @ Zuhause (unbezahlt)</t>
        </is>
      </c>
    </row>
    <row r="46">
      <c r="A46" s="14" t="inlineStr"/>
      <c r="B46" s="9" t="inlineStr">
        <is>
          <t>Tagesmutter</t>
        </is>
      </c>
    </row>
    <row r="47">
      <c r="A47" s="15" t="inlineStr"/>
      <c r="B47" s="9" t="inlineStr">
        <is>
          <t>Frei / Eltern-Betreuung</t>
        </is>
      </c>
    </row>
    <row r="48">
      <c r="A48" s="16" t="inlineStr"/>
      <c r="B48" s="9" t="inlineStr">
        <is>
          <t>Niklas: betreut</t>
        </is>
      </c>
    </row>
    <row r="49">
      <c r="A49" s="17" t="inlineStr"/>
      <c r="B49" s="9" t="inlineStr">
        <is>
          <t>Niklas: LÜCKE</t>
        </is>
      </c>
    </row>
  </sheetData>
  <mergeCells count="19">
    <mergeCell ref="B49:E49"/>
    <mergeCell ref="N5:P5"/>
    <mergeCell ref="A4:P4"/>
    <mergeCell ref="B45:E45"/>
    <mergeCell ref="B41:E41"/>
    <mergeCell ref="B47:E47"/>
    <mergeCell ref="B46:E46"/>
    <mergeCell ref="B5:D5"/>
    <mergeCell ref="B43:E43"/>
    <mergeCell ref="A1:P1"/>
    <mergeCell ref="H5:J5"/>
    <mergeCell ref="B48:E48"/>
    <mergeCell ref="B42:E42"/>
    <mergeCell ref="A29:H29"/>
    <mergeCell ref="E5:G5"/>
    <mergeCell ref="K5:M5"/>
    <mergeCell ref="A38:H38"/>
    <mergeCell ref="B44:E4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V2 – Paul 40h + Dominique 50% (20h), ohne Tagesmutter</t>
        </is>
      </c>
    </row>
    <row r="2">
      <c r="A2" s="9" t="inlineStr">
        <is>
          <t>Dom 5×4h: Mo/Di/Mi HO (Paul Office), Do/Fr Office (Paul HO).</t>
        </is>
      </c>
    </row>
    <row r="4">
      <c r="A4" s="19" t="inlineStr">
        <is>
          <t>Wochenplan (07:30–18:00)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Dom frei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Dom frei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Dom frei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Paul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Paul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Dom HO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Dom HO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Dom HO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Paul HO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Paul HO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Dom HO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Dom HO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Dom HO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Paul HO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Paul HO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Dom HO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Dom HO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Dom HO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Paul HO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Paul HO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Dom HO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Dom HO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Dom HO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Paul HO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Paul HO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Dom HO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Dom HO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Dom HO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Paul HO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Paul HO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Dom HO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Dom HO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Dom HO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Paul HO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Paul HO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Dom HO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Dom HO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Dom HO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Paul HO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Paul HO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Dom HO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Dom HO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Dom HO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Paul HO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Paul HO</t>
        </is>
      </c>
    </row>
    <row r="16">
      <c r="A16" s="23" t="inlineStr">
        <is>
          <t>12:00</t>
        </is>
      </c>
      <c r="B16" s="29" t="inlineStr">
        <is>
          <t>Pause</t>
        </is>
      </c>
      <c r="C16" s="25" t="inlineStr">
        <is>
          <t>Frei</t>
        </is>
      </c>
      <c r="D16" s="26" t="inlineStr">
        <is>
          <t>Dom frei</t>
        </is>
      </c>
      <c r="E16" s="29" t="inlineStr">
        <is>
          <t>Pause</t>
        </is>
      </c>
      <c r="F16" s="25" t="inlineStr">
        <is>
          <t>Frei</t>
        </is>
      </c>
      <c r="G16" s="26" t="inlineStr">
        <is>
          <t>Dom frei</t>
        </is>
      </c>
      <c r="H16" s="24" t="inlineStr">
        <is>
          <t>→Home</t>
        </is>
      </c>
      <c r="I16" s="25" t="inlineStr">
        <is>
          <t>Frei</t>
        </is>
      </c>
      <c r="J16" s="26" t="inlineStr">
        <is>
          <t>Dom frei</t>
        </is>
      </c>
      <c r="K16" s="30" t="inlineStr">
        <is>
          <t>Pause</t>
        </is>
      </c>
      <c r="L16" s="24" t="inlineStr">
        <is>
          <t>→Home</t>
        </is>
      </c>
      <c r="M16" s="26" t="inlineStr">
        <is>
          <t>Paul Pause</t>
        </is>
      </c>
      <c r="N16" s="30" t="inlineStr">
        <is>
          <t>Pause</t>
        </is>
      </c>
      <c r="O16" s="24" t="inlineStr">
        <is>
          <t>→Home</t>
        </is>
      </c>
      <c r="P16" s="26" t="inlineStr">
        <is>
          <t>Paul Pause</t>
        </is>
      </c>
    </row>
    <row r="17">
      <c r="A17" s="23" t="inlineStr">
        <is>
          <t>12:30</t>
        </is>
      </c>
      <c r="B17" s="27" t="inlineStr">
        <is>
          <t>Büro</t>
        </is>
      </c>
      <c r="C17" s="25" t="inlineStr">
        <is>
          <t>Frei</t>
        </is>
      </c>
      <c r="D17" s="26" t="inlineStr">
        <is>
          <t>Dom frei</t>
        </is>
      </c>
      <c r="E17" s="27" t="inlineStr">
        <is>
          <t>Büro</t>
        </is>
      </c>
      <c r="F17" s="25" t="inlineStr">
        <is>
          <t>Frei</t>
        </is>
      </c>
      <c r="G17" s="26" t="inlineStr">
        <is>
          <t>Dom frei</t>
        </is>
      </c>
      <c r="H17" s="30" t="inlineStr">
        <is>
          <t>Pause</t>
        </is>
      </c>
      <c r="I17" s="25" t="inlineStr">
        <is>
          <t>Frei</t>
        </is>
      </c>
      <c r="J17" s="26" t="inlineStr">
        <is>
          <t>P:Pause D:frei</t>
        </is>
      </c>
      <c r="K17" s="28" t="inlineStr">
        <is>
          <t>HO</t>
        </is>
      </c>
      <c r="L17" s="25" t="inlineStr">
        <is>
          <t>Frei</t>
        </is>
      </c>
      <c r="M17" s="26" t="inlineStr">
        <is>
          <t>P:HO D:frei</t>
        </is>
      </c>
      <c r="N17" s="28" t="inlineStr">
        <is>
          <t>HO</t>
        </is>
      </c>
      <c r="O17" s="25" t="inlineStr">
        <is>
          <t>Frei</t>
        </is>
      </c>
      <c r="P17" s="26" t="inlineStr">
        <is>
          <t>P:HO D:frei</t>
        </is>
      </c>
    </row>
    <row r="18">
      <c r="A18" s="23" t="inlineStr">
        <is>
          <t>13:00</t>
        </is>
      </c>
      <c r="B18" s="27" t="inlineStr">
        <is>
          <t>Büro</t>
        </is>
      </c>
      <c r="C18" s="25" t="inlineStr">
        <is>
          <t>Frei</t>
        </is>
      </c>
      <c r="D18" s="26" t="inlineStr">
        <is>
          <t>Dom frei</t>
        </is>
      </c>
      <c r="E18" s="27" t="inlineStr">
        <is>
          <t>Büro</t>
        </is>
      </c>
      <c r="F18" s="25" t="inlineStr">
        <is>
          <t>Frei</t>
        </is>
      </c>
      <c r="G18" s="26" t="inlineStr">
        <is>
          <t>Dom frei</t>
        </is>
      </c>
      <c r="H18" s="28" t="inlineStr">
        <is>
          <t>HO</t>
        </is>
      </c>
      <c r="I18" s="25" t="inlineStr">
        <is>
          <t>Frei</t>
        </is>
      </c>
      <c r="J18" s="26" t="inlineStr">
        <is>
          <t>P:HO D:frei</t>
        </is>
      </c>
      <c r="K18" s="28" t="inlineStr">
        <is>
          <t>HO</t>
        </is>
      </c>
      <c r="L18" s="25" t="inlineStr">
        <is>
          <t>Frei</t>
        </is>
      </c>
      <c r="M18" s="26" t="inlineStr">
        <is>
          <t>P:HO D:frei</t>
        </is>
      </c>
      <c r="N18" s="28" t="inlineStr">
        <is>
          <t>HO</t>
        </is>
      </c>
      <c r="O18" s="25" t="inlineStr">
        <is>
          <t>Frei</t>
        </is>
      </c>
      <c r="P18" s="26" t="inlineStr">
        <is>
          <t>P:HO D:frei</t>
        </is>
      </c>
    </row>
    <row r="19">
      <c r="A19" s="23" t="inlineStr">
        <is>
          <t>13:30</t>
        </is>
      </c>
      <c r="B19" s="27" t="inlineStr">
        <is>
          <t>Büro</t>
        </is>
      </c>
      <c r="C19" s="25" t="inlineStr">
        <is>
          <t>Frei</t>
        </is>
      </c>
      <c r="D19" s="26" t="inlineStr">
        <is>
          <t>Dom frei</t>
        </is>
      </c>
      <c r="E19" s="27" t="inlineStr">
        <is>
          <t>Büro</t>
        </is>
      </c>
      <c r="F19" s="25" t="inlineStr">
        <is>
          <t>Frei</t>
        </is>
      </c>
      <c r="G19" s="26" t="inlineStr">
        <is>
          <t>Dom frei</t>
        </is>
      </c>
      <c r="H19" s="28" t="inlineStr">
        <is>
          <t>HO</t>
        </is>
      </c>
      <c r="I19" s="25" t="inlineStr">
        <is>
          <t>Frei</t>
        </is>
      </c>
      <c r="J19" s="26" t="inlineStr">
        <is>
          <t>P:HO D:frei</t>
        </is>
      </c>
      <c r="K19" s="28" t="inlineStr">
        <is>
          <t>HO</t>
        </is>
      </c>
      <c r="L19" s="25" t="inlineStr">
        <is>
          <t>Frei</t>
        </is>
      </c>
      <c r="M19" s="26" t="inlineStr">
        <is>
          <t>P:HO D:frei</t>
        </is>
      </c>
      <c r="N19" s="28" t="inlineStr">
        <is>
          <t>HO</t>
        </is>
      </c>
      <c r="O19" s="25" t="inlineStr">
        <is>
          <t>Frei</t>
        </is>
      </c>
      <c r="P19" s="26" t="inlineStr">
        <is>
          <t>P:HO D:frei</t>
        </is>
      </c>
    </row>
    <row r="20">
      <c r="A20" s="23" t="inlineStr">
        <is>
          <t>14:00</t>
        </is>
      </c>
      <c r="B20" s="27" t="inlineStr">
        <is>
          <t>Büro</t>
        </is>
      </c>
      <c r="C20" s="25" t="inlineStr">
        <is>
          <t>Frei</t>
        </is>
      </c>
      <c r="D20" s="26" t="inlineStr">
        <is>
          <t>Dom frei</t>
        </is>
      </c>
      <c r="E20" s="27" t="inlineStr">
        <is>
          <t>Büro</t>
        </is>
      </c>
      <c r="F20" s="25" t="inlineStr">
        <is>
          <t>Frei</t>
        </is>
      </c>
      <c r="G20" s="26" t="inlineStr">
        <is>
          <t>Dom frei</t>
        </is>
      </c>
      <c r="H20" s="28" t="inlineStr">
        <is>
          <t>HO</t>
        </is>
      </c>
      <c r="I20" s="25" t="inlineStr">
        <is>
          <t>Frei</t>
        </is>
      </c>
      <c r="J20" s="26" t="inlineStr">
        <is>
          <t>P:HO D:frei</t>
        </is>
      </c>
      <c r="K20" s="28" t="inlineStr">
        <is>
          <t>HO</t>
        </is>
      </c>
      <c r="L20" s="25" t="inlineStr">
        <is>
          <t>Frei</t>
        </is>
      </c>
      <c r="M20" s="26" t="inlineStr">
        <is>
          <t>P:HO D:frei</t>
        </is>
      </c>
      <c r="N20" s="28" t="inlineStr">
        <is>
          <t>HO</t>
        </is>
      </c>
      <c r="O20" s="25" t="inlineStr">
        <is>
          <t>Frei</t>
        </is>
      </c>
      <c r="P20" s="26" t="inlineStr">
        <is>
          <t>P:HO D:frei</t>
        </is>
      </c>
    </row>
    <row r="21">
      <c r="A21" s="23" t="inlineStr">
        <is>
          <t>14:30</t>
        </is>
      </c>
      <c r="B21" s="27" t="inlineStr">
        <is>
          <t>Büro</t>
        </is>
      </c>
      <c r="C21" s="25" t="inlineStr">
        <is>
          <t>Frei</t>
        </is>
      </c>
      <c r="D21" s="26" t="inlineStr">
        <is>
          <t>Dom frei</t>
        </is>
      </c>
      <c r="E21" s="27" t="inlineStr">
        <is>
          <t>Büro</t>
        </is>
      </c>
      <c r="F21" s="25" t="inlineStr">
        <is>
          <t>Frei</t>
        </is>
      </c>
      <c r="G21" s="26" t="inlineStr">
        <is>
          <t>Dom frei</t>
        </is>
      </c>
      <c r="H21" s="28" t="inlineStr">
        <is>
          <t>HO</t>
        </is>
      </c>
      <c r="I21" s="25" t="inlineStr">
        <is>
          <t>Frei</t>
        </is>
      </c>
      <c r="J21" s="26" t="inlineStr">
        <is>
          <t>P:HO D:frei</t>
        </is>
      </c>
      <c r="K21" s="28" t="inlineStr">
        <is>
          <t>HO</t>
        </is>
      </c>
      <c r="L21" s="25" t="inlineStr">
        <is>
          <t>Frei</t>
        </is>
      </c>
      <c r="M21" s="26" t="inlineStr">
        <is>
          <t>P:HO D:frei</t>
        </is>
      </c>
      <c r="N21" s="28" t="inlineStr">
        <is>
          <t>HO</t>
        </is>
      </c>
      <c r="O21" s="25" t="inlineStr">
        <is>
          <t>Frei</t>
        </is>
      </c>
      <c r="P21" s="26" t="inlineStr">
        <is>
          <t>P:HO D:frei</t>
        </is>
      </c>
    </row>
    <row r="22">
      <c r="A22" s="23" t="inlineStr">
        <is>
          <t>15:00</t>
        </is>
      </c>
      <c r="B22" s="27" t="inlineStr">
        <is>
          <t>Büro</t>
        </is>
      </c>
      <c r="C22" s="25" t="inlineStr">
        <is>
          <t>Frei</t>
        </is>
      </c>
      <c r="D22" s="26" t="inlineStr">
        <is>
          <t>Dom frei</t>
        </is>
      </c>
      <c r="E22" s="27" t="inlineStr">
        <is>
          <t>Büro</t>
        </is>
      </c>
      <c r="F22" s="25" t="inlineStr">
        <is>
          <t>Frei</t>
        </is>
      </c>
      <c r="G22" s="26" t="inlineStr">
        <is>
          <t>Dom frei</t>
        </is>
      </c>
      <c r="H22" s="28" t="inlineStr">
        <is>
          <t>HO</t>
        </is>
      </c>
      <c r="I22" s="25" t="inlineStr">
        <is>
          <t>Frei</t>
        </is>
      </c>
      <c r="J22" s="26" t="inlineStr">
        <is>
          <t>P:HO D:frei</t>
        </is>
      </c>
      <c r="K22" s="28" t="inlineStr">
        <is>
          <t>HO</t>
        </is>
      </c>
      <c r="L22" s="25" t="inlineStr">
        <is>
          <t>Frei</t>
        </is>
      </c>
      <c r="M22" s="26" t="inlineStr">
        <is>
          <t>P:HO D:frei</t>
        </is>
      </c>
      <c r="N22" s="28" t="inlineStr">
        <is>
          <t>HO</t>
        </is>
      </c>
      <c r="O22" s="25" t="inlineStr">
        <is>
          <t>Frei</t>
        </is>
      </c>
      <c r="P22" s="26" t="inlineStr">
        <is>
          <t>P:HO D:frei</t>
        </is>
      </c>
    </row>
    <row r="23">
      <c r="A23" s="23" t="inlineStr">
        <is>
          <t>15:30</t>
        </is>
      </c>
      <c r="B23" s="27" t="inlineStr">
        <is>
          <t>Büro</t>
        </is>
      </c>
      <c r="C23" s="25" t="inlineStr">
        <is>
          <t>Frei</t>
        </is>
      </c>
      <c r="D23" s="26" t="inlineStr">
        <is>
          <t>Dom frei</t>
        </is>
      </c>
      <c r="E23" s="27" t="inlineStr">
        <is>
          <t>Büro</t>
        </is>
      </c>
      <c r="F23" s="25" t="inlineStr">
        <is>
          <t>Frei</t>
        </is>
      </c>
      <c r="G23" s="26" t="inlineStr">
        <is>
          <t>Dom frei</t>
        </is>
      </c>
      <c r="H23" s="28" t="inlineStr">
        <is>
          <t>HO</t>
        </is>
      </c>
      <c r="I23" s="25" t="inlineStr">
        <is>
          <t>Frei</t>
        </is>
      </c>
      <c r="J23" s="26" t="inlineStr">
        <is>
          <t>P:HO D:frei</t>
        </is>
      </c>
      <c r="K23" s="28" t="inlineStr">
        <is>
          <t>HO</t>
        </is>
      </c>
      <c r="L23" s="25" t="inlineStr">
        <is>
          <t>Frei</t>
        </is>
      </c>
      <c r="M23" s="26" t="inlineStr">
        <is>
          <t>P:HO D:frei</t>
        </is>
      </c>
      <c r="N23" s="28" t="inlineStr">
        <is>
          <t>HO</t>
        </is>
      </c>
      <c r="O23" s="25" t="inlineStr">
        <is>
          <t>Frei</t>
        </is>
      </c>
      <c r="P23" s="26" t="inlineStr">
        <is>
          <t>P:HO D:frei</t>
        </is>
      </c>
    </row>
    <row r="24">
      <c r="A24" s="23" t="inlineStr">
        <is>
          <t>16:00</t>
        </is>
      </c>
      <c r="B24" s="27" t="inlineStr">
        <is>
          <t>Büro</t>
        </is>
      </c>
      <c r="C24" s="25" t="inlineStr">
        <is>
          <t>Frei</t>
        </is>
      </c>
      <c r="D24" s="26" t="inlineStr">
        <is>
          <t>Dom frei</t>
        </is>
      </c>
      <c r="E24" s="27" t="inlineStr">
        <is>
          <t>Büro</t>
        </is>
      </c>
      <c r="F24" s="25" t="inlineStr">
        <is>
          <t>Frei</t>
        </is>
      </c>
      <c r="G24" s="26" t="inlineStr">
        <is>
          <t>Dom frei</t>
        </is>
      </c>
      <c r="H24" s="28" t="inlineStr">
        <is>
          <t>HO</t>
        </is>
      </c>
      <c r="I24" s="25" t="inlineStr">
        <is>
          <t>Frei</t>
        </is>
      </c>
      <c r="J24" s="26" t="inlineStr">
        <is>
          <t>P:HO D:frei</t>
        </is>
      </c>
      <c r="K24" s="28" t="inlineStr">
        <is>
          <t>HO</t>
        </is>
      </c>
      <c r="L24" s="25" t="inlineStr">
        <is>
          <t>Frei</t>
        </is>
      </c>
      <c r="M24" s="26" t="inlineStr">
        <is>
          <t>P:HO D:frei</t>
        </is>
      </c>
      <c r="N24" s="28" t="inlineStr">
        <is>
          <t>HO</t>
        </is>
      </c>
      <c r="O24" s="25" t="inlineStr">
        <is>
          <t>Frei</t>
        </is>
      </c>
      <c r="P24" s="26" t="inlineStr">
        <is>
          <t>P:HO D:frei</t>
        </is>
      </c>
    </row>
    <row r="25">
      <c r="A25" s="23" t="inlineStr">
        <is>
          <t>16:30</t>
        </is>
      </c>
      <c r="B25" s="24" t="inlineStr">
        <is>
          <t>→Home</t>
        </is>
      </c>
      <c r="C25" s="25" t="inlineStr">
        <is>
          <t>Frei</t>
        </is>
      </c>
      <c r="D25" s="26" t="inlineStr">
        <is>
          <t>Dom frei</t>
        </is>
      </c>
      <c r="E25" s="24" t="inlineStr">
        <is>
          <t>→Home</t>
        </is>
      </c>
      <c r="F25" s="25" t="inlineStr">
        <is>
          <t>Frei</t>
        </is>
      </c>
      <c r="G25" s="26" t="inlineStr">
        <is>
          <t>Dom frei</t>
        </is>
      </c>
      <c r="H25" s="28" t="inlineStr">
        <is>
          <t>HO</t>
        </is>
      </c>
      <c r="I25" s="25" t="inlineStr">
        <is>
          <t>Frei</t>
        </is>
      </c>
      <c r="J25" s="26" t="inlineStr">
        <is>
          <t>P:HO D:frei</t>
        </is>
      </c>
      <c r="K25" s="25" t="inlineStr">
        <is>
          <t>Frei</t>
        </is>
      </c>
      <c r="L25" s="25" t="inlineStr">
        <is>
          <t>Frei</t>
        </is>
      </c>
      <c r="M25" s="26" t="inlineStr">
        <is>
          <t>Beide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7">
      <c r="A27" s="23" t="inlineStr">
        <is>
          <t>17:30</t>
        </is>
      </c>
      <c r="B27" s="25" t="inlineStr">
        <is>
          <t>Frei</t>
        </is>
      </c>
      <c r="C27" s="25" t="inlineStr">
        <is>
          <t>Frei</t>
        </is>
      </c>
      <c r="D27" s="26" t="inlineStr">
        <is>
          <t>Beide frei</t>
        </is>
      </c>
      <c r="E27" s="25" t="inlineStr">
        <is>
          <t>Frei</t>
        </is>
      </c>
      <c r="F27" s="25" t="inlineStr">
        <is>
          <t>Frei</t>
        </is>
      </c>
      <c r="G27" s="26" t="inlineStr">
        <is>
          <t>Beide frei</t>
        </is>
      </c>
      <c r="H27" s="25" t="inlineStr">
        <is>
          <t>Frei</t>
        </is>
      </c>
      <c r="I27" s="25" t="inlineStr">
        <is>
          <t>Frei</t>
        </is>
      </c>
      <c r="J27" s="26" t="inlineStr">
        <is>
          <t>Beide frei</t>
        </is>
      </c>
      <c r="K27" s="25" t="inlineStr">
        <is>
          <t>Frei</t>
        </is>
      </c>
      <c r="L27" s="25" t="inlineStr">
        <is>
          <t>Frei</t>
        </is>
      </c>
      <c r="M27" s="26" t="inlineStr">
        <is>
          <t>Beide frei</t>
        </is>
      </c>
      <c r="N27" s="25" t="inlineStr">
        <is>
          <t>Frei</t>
        </is>
      </c>
      <c r="O27" s="25" t="inlineStr">
        <is>
          <t>Frei</t>
        </is>
      </c>
      <c r="P27" s="26" t="inlineStr">
        <is>
          <t>Beide frei</t>
        </is>
      </c>
    </row>
    <row r="29">
      <c r="A29" s="3" t="inlineStr">
        <is>
          <t>Einkommen &amp; Kosten</t>
        </is>
      </c>
    </row>
    <row r="30">
      <c r="A30" s="31" t="inlineStr"/>
      <c r="B30" s="31" t="inlineStr">
        <is>
          <t>Wochenstd.</t>
        </is>
      </c>
      <c r="C30" s="31" t="inlineStr">
        <is>
          <t>Vollzeit Brutto/J</t>
        </is>
      </c>
      <c r="D30" s="31" t="inlineStr">
        <is>
          <t>Anteil</t>
        </is>
      </c>
      <c r="E30" s="31" t="inlineStr">
        <is>
          <t>Brutto/Mon</t>
        </is>
      </c>
      <c r="F30" s="31" t="inlineStr">
        <is>
          <t>Brutto/Jahr</t>
        </is>
      </c>
      <c r="G30" s="31" t="inlineStr">
        <is>
          <t>Netto/Mon (≈)</t>
        </is>
      </c>
      <c r="H30" s="31" t="inlineStr">
        <is>
          <t>Netto/Jahr (≈)</t>
        </is>
      </c>
    </row>
    <row r="31">
      <c r="A31" s="32" t="inlineStr">
        <is>
          <t>Paul</t>
        </is>
      </c>
      <c r="B31" s="33" t="n">
        <v>40</v>
      </c>
      <c r="C31" s="34" t="n">
        <v>96000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2" t="inlineStr">
        <is>
          <t>Dominique</t>
        </is>
      </c>
      <c r="B32" s="33" t="n">
        <v>20</v>
      </c>
      <c r="C32" s="34" t="n">
        <v>84000</v>
      </c>
      <c r="D32" s="35">
        <f>B32/40</f>
        <v/>
      </c>
      <c r="E32" s="34">
        <f>C32*D32/12</f>
        <v/>
      </c>
      <c r="F32" s="34">
        <f>C32*D32</f>
        <v/>
      </c>
      <c r="G32" s="34">
        <f>IF(E32&gt;=8000,E32*0.6,IF(E32&gt;=7000,E32*0.61,IF(E32&gt;=6000,E32*0.62,IF(E32&gt;=5000,E32*0.64,IF(E32&gt;=4000,E32*0.66,IF(E32&gt;=3000,E32*0.68,E32*0.70))))))</f>
        <v/>
      </c>
      <c r="H32" s="34">
        <f>G32*12</f>
        <v/>
      </c>
    </row>
    <row r="33">
      <c r="A33" s="36" t="inlineStr">
        <is>
          <t>Haushalt gesamt</t>
        </is>
      </c>
      <c r="B33" s="37">
        <f>B31+B32</f>
        <v/>
      </c>
      <c r="C33" s="36" t="n"/>
      <c r="D33" s="36" t="n"/>
      <c r="E33" s="38">
        <f>E31+E32</f>
        <v/>
      </c>
      <c r="F33" s="38">
        <f>F31+F32</f>
        <v/>
      </c>
      <c r="G33" s="38">
        <f>G31+G32</f>
        <v/>
      </c>
      <c r="H33" s="38">
        <f>H31+H32</f>
        <v/>
      </c>
    </row>
    <row r="35">
      <c r="A35" s="7" t="inlineStr">
        <is>
          <t>Haushaltseinkommen lt. Satzung (Brutto -30%)</t>
        </is>
      </c>
      <c r="B35" s="39">
        <f>F33*0.7</f>
        <v/>
      </c>
    </row>
    <row r="36">
      <c r="A36" s="7" t="inlineStr">
        <is>
          <t>Netto-Haushalt / Monat (ohne TM)</t>
        </is>
      </c>
      <c r="B36" s="40">
        <f>G33</f>
        <v/>
      </c>
    </row>
    <row r="38">
      <c r="A38" s="9" t="inlineStr">
        <is>
          <t>Netto-Schätzung: Steuerklasse IV/IV, verheiratet, 1 Kind, 2026 (Quelle: brutto-netto-rechner.info Näherung).</t>
        </is>
      </c>
    </row>
    <row r="40">
      <c r="A40" s="7" t="inlineStr">
        <is>
          <t>Legende:</t>
        </is>
      </c>
    </row>
    <row r="41">
      <c r="A41" s="8" t="inlineStr"/>
      <c r="B41" s="9" t="inlineStr">
        <is>
          <t>Büro</t>
        </is>
      </c>
    </row>
    <row r="42">
      <c r="A42" s="10" t="inlineStr"/>
      <c r="B42" s="9" t="inlineStr">
        <is>
          <t>Homeoffice (HO) – ca. 50% Eigen-Betreuung möglich</t>
        </is>
      </c>
    </row>
    <row r="43">
      <c r="A43" s="11" t="inlineStr"/>
      <c r="B43" s="9" t="inlineStr">
        <is>
          <t>Pendeln (→Büro / →Home)</t>
        </is>
      </c>
    </row>
    <row r="44">
      <c r="A44" s="12" t="inlineStr"/>
      <c r="B44" s="9" t="inlineStr">
        <is>
          <t>Pause @ Büro (unbezahlt)</t>
        </is>
      </c>
    </row>
    <row r="45">
      <c r="A45" s="13" t="inlineStr"/>
      <c r="B45" s="9" t="inlineStr">
        <is>
          <t>Pause @ Zuhause (unbezahlt)</t>
        </is>
      </c>
    </row>
    <row r="46">
      <c r="A46" s="14" t="inlineStr"/>
      <c r="B46" s="9" t="inlineStr">
        <is>
          <t>Tagesmutter</t>
        </is>
      </c>
    </row>
    <row r="47">
      <c r="A47" s="15" t="inlineStr"/>
      <c r="B47" s="9" t="inlineStr">
        <is>
          <t>Frei / Eltern-Betreuung</t>
        </is>
      </c>
    </row>
    <row r="48">
      <c r="A48" s="16" t="inlineStr"/>
      <c r="B48" s="9" t="inlineStr">
        <is>
          <t>Niklas: betreut</t>
        </is>
      </c>
    </row>
    <row r="49">
      <c r="A49" s="17" t="inlineStr"/>
      <c r="B49" s="9" t="inlineStr">
        <is>
          <t>Niklas: LÜCKE</t>
        </is>
      </c>
    </row>
  </sheetData>
  <mergeCells count="19">
    <mergeCell ref="B49:E49"/>
    <mergeCell ref="N5:P5"/>
    <mergeCell ref="A4:P4"/>
    <mergeCell ref="B45:E45"/>
    <mergeCell ref="B41:E41"/>
    <mergeCell ref="B47:E47"/>
    <mergeCell ref="B46:E46"/>
    <mergeCell ref="B5:D5"/>
    <mergeCell ref="B43:E43"/>
    <mergeCell ref="A1:P1"/>
    <mergeCell ref="H5:J5"/>
    <mergeCell ref="B48:E48"/>
    <mergeCell ref="B42:E42"/>
    <mergeCell ref="A29:H29"/>
    <mergeCell ref="E5:G5"/>
    <mergeCell ref="K5:M5"/>
    <mergeCell ref="A38:H38"/>
    <mergeCell ref="B44:E4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V3 – Beide 35h, ohne Tagesmutter</t>
        </is>
      </c>
    </row>
    <row r="2">
      <c r="A2" s="9" t="inlineStr">
        <is>
          <t>5×7h pro Person, gegenläufige HO/Office-Verteilung. Mi Hybrid.</t>
        </is>
      </c>
    </row>
    <row r="4">
      <c r="A4" s="19" t="inlineStr">
        <is>
          <t>Wochenplan (07:30–18:00)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Dom frei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Dom frei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Dom frei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Paul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Paul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Dom HO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Dom HO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Dom HO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Paul HO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Paul HO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Dom HO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Dom HO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Dom HO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Paul HO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Paul HO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Dom HO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Dom HO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Dom HO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Paul HO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Paul HO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Dom HO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Dom HO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Dom HO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Paul HO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Paul HO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Dom HO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Dom HO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Dom HO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Paul HO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Paul HO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Dom HO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Dom HO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Dom HO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Paul HO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Paul HO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Dom HO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Dom HO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Dom HO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Paul HO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Paul HO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Dom HO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Dom HO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Dom HO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Paul HO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Paul HO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Dom Pause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Dom Pause</t>
        </is>
      </c>
      <c r="H16" s="24" t="inlineStr">
        <is>
          <t>→Home</t>
        </is>
      </c>
      <c r="I16" s="30" t="inlineStr">
        <is>
          <t>Pause</t>
        </is>
      </c>
      <c r="J16" s="26" t="inlineStr">
        <is>
          <t>Dom Pause</t>
        </is>
      </c>
      <c r="K16" s="30" t="inlineStr">
        <is>
          <t>Pause</t>
        </is>
      </c>
      <c r="L16" s="29" t="inlineStr">
        <is>
          <t>Pause</t>
        </is>
      </c>
      <c r="M16" s="26" t="inlineStr">
        <is>
          <t>Paul Pause</t>
        </is>
      </c>
      <c r="N16" s="30" t="inlineStr">
        <is>
          <t>Pause</t>
        </is>
      </c>
      <c r="O16" s="29" t="inlineStr">
        <is>
          <t>Pause</t>
        </is>
      </c>
      <c r="P16" s="26" t="inlineStr">
        <is>
          <t>Paul Pause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Dom HO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Dom HO</t>
        </is>
      </c>
      <c r="H17" s="30" t="inlineStr">
        <is>
          <t>Pause</t>
        </is>
      </c>
      <c r="I17" s="24" t="inlineStr">
        <is>
          <t>→Büro</t>
        </is>
      </c>
      <c r="J17" s="26" t="inlineStr">
        <is>
          <t>Paul Pause</t>
        </is>
      </c>
      <c r="K17" s="28" t="inlineStr">
        <is>
          <t>HO</t>
        </is>
      </c>
      <c r="L17" s="27" t="inlineStr">
        <is>
          <t>Büro</t>
        </is>
      </c>
      <c r="M17" s="26" t="inlineStr">
        <is>
          <t>Paul HO</t>
        </is>
      </c>
      <c r="N17" s="28" t="inlineStr">
        <is>
          <t>HO</t>
        </is>
      </c>
      <c r="O17" s="27" t="inlineStr">
        <is>
          <t>Büro</t>
        </is>
      </c>
      <c r="P17" s="26" t="inlineStr">
        <is>
          <t>Paul HO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8" t="inlineStr">
        <is>
          <t>HO</t>
        </is>
      </c>
      <c r="L18" s="27" t="inlineStr">
        <is>
          <t>Büro</t>
        </is>
      </c>
      <c r="M18" s="26" t="inlineStr">
        <is>
          <t>Paul HO</t>
        </is>
      </c>
      <c r="N18" s="28" t="inlineStr">
        <is>
          <t>HO</t>
        </is>
      </c>
      <c r="O18" s="27" t="inlineStr">
        <is>
          <t>Büro</t>
        </is>
      </c>
      <c r="P18" s="26" t="inlineStr">
        <is>
          <t>Paul HO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8" t="inlineStr">
        <is>
          <t>HO</t>
        </is>
      </c>
      <c r="L19" s="27" t="inlineStr">
        <is>
          <t>Büro</t>
        </is>
      </c>
      <c r="M19" s="26" t="inlineStr">
        <is>
          <t>Paul HO</t>
        </is>
      </c>
      <c r="N19" s="28" t="inlineStr">
        <is>
          <t>HO</t>
        </is>
      </c>
      <c r="O19" s="27" t="inlineStr">
        <is>
          <t>Büro</t>
        </is>
      </c>
      <c r="P19" s="26" t="inlineStr">
        <is>
          <t>Paul HO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8" t="inlineStr">
        <is>
          <t>HO</t>
        </is>
      </c>
      <c r="L20" s="27" t="inlineStr">
        <is>
          <t>Büro</t>
        </is>
      </c>
      <c r="M20" s="26" t="inlineStr">
        <is>
          <t>Paul HO</t>
        </is>
      </c>
      <c r="N20" s="28" t="inlineStr">
        <is>
          <t>HO</t>
        </is>
      </c>
      <c r="O20" s="27" t="inlineStr">
        <is>
          <t>Büro</t>
        </is>
      </c>
      <c r="P20" s="26" t="inlineStr">
        <is>
          <t>Paul HO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8" t="inlineStr">
        <is>
          <t>HO</t>
        </is>
      </c>
      <c r="L21" s="27" t="inlineStr">
        <is>
          <t>Büro</t>
        </is>
      </c>
      <c r="M21" s="26" t="inlineStr">
        <is>
          <t>Paul HO</t>
        </is>
      </c>
      <c r="N21" s="28" t="inlineStr">
        <is>
          <t>HO</t>
        </is>
      </c>
      <c r="O21" s="27" t="inlineStr">
        <is>
          <t>Büro</t>
        </is>
      </c>
      <c r="P21" s="26" t="inlineStr">
        <is>
          <t>Paul HO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8" t="inlineStr">
        <is>
          <t>HO</t>
        </is>
      </c>
      <c r="L22" s="27" t="inlineStr">
        <is>
          <t>Büro</t>
        </is>
      </c>
      <c r="M22" s="26" t="inlineStr">
        <is>
          <t>Paul HO</t>
        </is>
      </c>
      <c r="N22" s="28" t="inlineStr">
        <is>
          <t>HO</t>
        </is>
      </c>
      <c r="O22" s="27" t="inlineStr">
        <is>
          <t>Büro</t>
        </is>
      </c>
      <c r="P22" s="26" t="inlineStr">
        <is>
          <t>Paul HO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5" t="inlineStr">
        <is>
          <t>Frei</t>
        </is>
      </c>
      <c r="D23" s="26" t="inlineStr">
        <is>
          <t>Dom frei</t>
        </is>
      </c>
      <c r="E23" s="24" t="inlineStr">
        <is>
          <t>→Home</t>
        </is>
      </c>
      <c r="F23" s="25" t="inlineStr">
        <is>
          <t>Frei</t>
        </is>
      </c>
      <c r="G23" s="26" t="inlineStr">
        <is>
          <t>Dom frei</t>
        </is>
      </c>
      <c r="H23" s="28" t="inlineStr">
        <is>
          <t>HO</t>
        </is>
      </c>
      <c r="I23" s="27" t="inlineStr">
        <is>
          <t>Büro</t>
        </is>
      </c>
      <c r="J23" s="26" t="inlineStr">
        <is>
          <t>Paul HO</t>
        </is>
      </c>
      <c r="K23" s="25" t="inlineStr">
        <is>
          <t>Frei</t>
        </is>
      </c>
      <c r="L23" s="24" t="inlineStr">
        <is>
          <t>→Home</t>
        </is>
      </c>
      <c r="M23" s="26" t="inlineStr">
        <is>
          <t>Paul frei</t>
        </is>
      </c>
      <c r="N23" s="25" t="inlineStr">
        <is>
          <t>Frei</t>
        </is>
      </c>
      <c r="O23" s="24" t="inlineStr">
        <is>
          <t>→Home</t>
        </is>
      </c>
      <c r="P23" s="26" t="inlineStr">
        <is>
          <t>Paul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5" t="inlineStr">
        <is>
          <t>Frei</t>
        </is>
      </c>
      <c r="D24" s="26" t="inlineStr">
        <is>
          <t>Beide frei</t>
        </is>
      </c>
      <c r="E24" s="25" t="inlineStr">
        <is>
          <t>Frei</t>
        </is>
      </c>
      <c r="F24" s="25" t="inlineStr">
        <is>
          <t>Frei</t>
        </is>
      </c>
      <c r="G24" s="26" t="inlineStr">
        <is>
          <t>Beide frei</t>
        </is>
      </c>
      <c r="H24" s="25" t="inlineStr">
        <is>
          <t>Frei</t>
        </is>
      </c>
      <c r="I24" s="25" t="inlineStr">
        <is>
          <t>Frei</t>
        </is>
      </c>
      <c r="J24" s="26" t="inlineStr">
        <is>
          <t>Beide frei</t>
        </is>
      </c>
      <c r="K24" s="25" t="inlineStr">
        <is>
          <t>Frei</t>
        </is>
      </c>
      <c r="L24" s="25" t="inlineStr">
        <is>
          <t>Frei</t>
        </is>
      </c>
      <c r="M24" s="26" t="inlineStr">
        <is>
          <t>Beide frei</t>
        </is>
      </c>
      <c r="N24" s="25" t="inlineStr">
        <is>
          <t>Frei</t>
        </is>
      </c>
      <c r="O24" s="25" t="inlineStr">
        <is>
          <t>Frei</t>
        </is>
      </c>
      <c r="P24" s="26" t="inlineStr">
        <is>
          <t>Beide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5" t="inlineStr">
        <is>
          <t>Frei</t>
        </is>
      </c>
      <c r="J25" s="26" t="inlineStr">
        <is>
          <t>Beide frei</t>
        </is>
      </c>
      <c r="K25" s="25" t="inlineStr">
        <is>
          <t>Frei</t>
        </is>
      </c>
      <c r="L25" s="25" t="inlineStr">
        <is>
          <t>Frei</t>
        </is>
      </c>
      <c r="M25" s="26" t="inlineStr">
        <is>
          <t>Beide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7">
      <c r="A27" s="23" t="inlineStr">
        <is>
          <t>17:30</t>
        </is>
      </c>
      <c r="B27" s="25" t="inlineStr">
        <is>
          <t>Frei</t>
        </is>
      </c>
      <c r="C27" s="25" t="inlineStr">
        <is>
          <t>Frei</t>
        </is>
      </c>
      <c r="D27" s="26" t="inlineStr">
        <is>
          <t>Beide frei</t>
        </is>
      </c>
      <c r="E27" s="25" t="inlineStr">
        <is>
          <t>Frei</t>
        </is>
      </c>
      <c r="F27" s="25" t="inlineStr">
        <is>
          <t>Frei</t>
        </is>
      </c>
      <c r="G27" s="26" t="inlineStr">
        <is>
          <t>Beide frei</t>
        </is>
      </c>
      <c r="H27" s="25" t="inlineStr">
        <is>
          <t>Frei</t>
        </is>
      </c>
      <c r="I27" s="25" t="inlineStr">
        <is>
          <t>Frei</t>
        </is>
      </c>
      <c r="J27" s="26" t="inlineStr">
        <is>
          <t>Beide frei</t>
        </is>
      </c>
      <c r="K27" s="25" t="inlineStr">
        <is>
          <t>Frei</t>
        </is>
      </c>
      <c r="L27" s="25" t="inlineStr">
        <is>
          <t>Frei</t>
        </is>
      </c>
      <c r="M27" s="26" t="inlineStr">
        <is>
          <t>Beide frei</t>
        </is>
      </c>
      <c r="N27" s="25" t="inlineStr">
        <is>
          <t>Frei</t>
        </is>
      </c>
      <c r="O27" s="25" t="inlineStr">
        <is>
          <t>Frei</t>
        </is>
      </c>
      <c r="P27" s="26" t="inlineStr">
        <is>
          <t>Beide frei</t>
        </is>
      </c>
    </row>
    <row r="29">
      <c r="A29" s="3" t="inlineStr">
        <is>
          <t>Einkommen &amp; Kosten</t>
        </is>
      </c>
    </row>
    <row r="30">
      <c r="A30" s="31" t="inlineStr"/>
      <c r="B30" s="31" t="inlineStr">
        <is>
          <t>Wochenstd.</t>
        </is>
      </c>
      <c r="C30" s="31" t="inlineStr">
        <is>
          <t>Vollzeit Brutto/J</t>
        </is>
      </c>
      <c r="D30" s="31" t="inlineStr">
        <is>
          <t>Anteil</t>
        </is>
      </c>
      <c r="E30" s="31" t="inlineStr">
        <is>
          <t>Brutto/Mon</t>
        </is>
      </c>
      <c r="F30" s="31" t="inlineStr">
        <is>
          <t>Brutto/Jahr</t>
        </is>
      </c>
      <c r="G30" s="31" t="inlineStr">
        <is>
          <t>Netto/Mon (≈)</t>
        </is>
      </c>
      <c r="H30" s="31" t="inlineStr">
        <is>
          <t>Netto/Jahr (≈)</t>
        </is>
      </c>
    </row>
    <row r="31">
      <c r="A31" s="32" t="inlineStr">
        <is>
          <t>Paul</t>
        </is>
      </c>
      <c r="B31" s="33" t="n">
        <v>35</v>
      </c>
      <c r="C31" s="34" t="n">
        <v>96000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2" t="inlineStr">
        <is>
          <t>Dominique</t>
        </is>
      </c>
      <c r="B32" s="33" t="n">
        <v>35</v>
      </c>
      <c r="C32" s="34" t="n">
        <v>84000</v>
      </c>
      <c r="D32" s="35">
        <f>B32/40</f>
        <v/>
      </c>
      <c r="E32" s="34">
        <f>C32*D32/12</f>
        <v/>
      </c>
      <c r="F32" s="34">
        <f>C32*D32</f>
        <v/>
      </c>
      <c r="G32" s="34">
        <f>IF(E32&gt;=8000,E32*0.6,IF(E32&gt;=7000,E32*0.61,IF(E32&gt;=6000,E32*0.62,IF(E32&gt;=5000,E32*0.64,IF(E32&gt;=4000,E32*0.66,IF(E32&gt;=3000,E32*0.68,E32*0.70))))))</f>
        <v/>
      </c>
      <c r="H32" s="34">
        <f>G32*12</f>
        <v/>
      </c>
    </row>
    <row r="33">
      <c r="A33" s="36" t="inlineStr">
        <is>
          <t>Haushalt gesamt</t>
        </is>
      </c>
      <c r="B33" s="37">
        <f>B31+B32</f>
        <v/>
      </c>
      <c r="C33" s="36" t="n"/>
      <c r="D33" s="36" t="n"/>
      <c r="E33" s="38">
        <f>E31+E32</f>
        <v/>
      </c>
      <c r="F33" s="38">
        <f>F31+F32</f>
        <v/>
      </c>
      <c r="G33" s="38">
        <f>G31+G32</f>
        <v/>
      </c>
      <c r="H33" s="38">
        <f>H31+H32</f>
        <v/>
      </c>
    </row>
    <row r="35">
      <c r="A35" s="7" t="inlineStr">
        <is>
          <t>Haushaltseinkommen lt. Satzung (Brutto -30%)</t>
        </is>
      </c>
      <c r="B35" s="39">
        <f>F33*0.7</f>
        <v/>
      </c>
    </row>
    <row r="36">
      <c r="A36" s="7" t="inlineStr">
        <is>
          <t>Netto-Haushalt / Monat (ohne TM)</t>
        </is>
      </c>
      <c r="B36" s="40">
        <f>G33</f>
        <v/>
      </c>
    </row>
    <row r="38">
      <c r="A38" s="9" t="inlineStr">
        <is>
          <t>Netto-Schätzung: Steuerklasse IV/IV, verheiratet, 1 Kind, 2026 (Quelle: brutto-netto-rechner.info Näherung).</t>
        </is>
      </c>
    </row>
    <row r="40">
      <c r="A40" s="7" t="inlineStr">
        <is>
          <t>Legende:</t>
        </is>
      </c>
    </row>
    <row r="41">
      <c r="A41" s="8" t="inlineStr"/>
      <c r="B41" s="9" t="inlineStr">
        <is>
          <t>Büro</t>
        </is>
      </c>
    </row>
    <row r="42">
      <c r="A42" s="10" t="inlineStr"/>
      <c r="B42" s="9" t="inlineStr">
        <is>
          <t>Homeoffice (HO) – ca. 50% Eigen-Betreuung möglich</t>
        </is>
      </c>
    </row>
    <row r="43">
      <c r="A43" s="11" t="inlineStr"/>
      <c r="B43" s="9" t="inlineStr">
        <is>
          <t>Pendeln (→Büro / →Home)</t>
        </is>
      </c>
    </row>
    <row r="44">
      <c r="A44" s="12" t="inlineStr"/>
      <c r="B44" s="9" t="inlineStr">
        <is>
          <t>Pause @ Büro (unbezahlt)</t>
        </is>
      </c>
    </row>
    <row r="45">
      <c r="A45" s="13" t="inlineStr"/>
      <c r="B45" s="9" t="inlineStr">
        <is>
          <t>Pause @ Zuhause (unbezahlt)</t>
        </is>
      </c>
    </row>
    <row r="46">
      <c r="A46" s="14" t="inlineStr"/>
      <c r="B46" s="9" t="inlineStr">
        <is>
          <t>Tagesmutter</t>
        </is>
      </c>
    </row>
    <row r="47">
      <c r="A47" s="15" t="inlineStr"/>
      <c r="B47" s="9" t="inlineStr">
        <is>
          <t>Frei / Eltern-Betreuung</t>
        </is>
      </c>
    </row>
    <row r="48">
      <c r="A48" s="16" t="inlineStr"/>
      <c r="B48" s="9" t="inlineStr">
        <is>
          <t>Niklas: betreut</t>
        </is>
      </c>
    </row>
    <row r="49">
      <c r="A49" s="17" t="inlineStr"/>
      <c r="B49" s="9" t="inlineStr">
        <is>
          <t>Niklas: LÜCKE</t>
        </is>
      </c>
    </row>
  </sheetData>
  <mergeCells count="19">
    <mergeCell ref="B49:E49"/>
    <mergeCell ref="N5:P5"/>
    <mergeCell ref="A4:P4"/>
    <mergeCell ref="B45:E45"/>
    <mergeCell ref="B41:E41"/>
    <mergeCell ref="B47:E47"/>
    <mergeCell ref="B46:E46"/>
    <mergeCell ref="B5:D5"/>
    <mergeCell ref="B43:E43"/>
    <mergeCell ref="A1:P1"/>
    <mergeCell ref="H5:J5"/>
    <mergeCell ref="B48:E48"/>
    <mergeCell ref="B42:E42"/>
    <mergeCell ref="A29:H29"/>
    <mergeCell ref="E5:G5"/>
    <mergeCell ref="K5:M5"/>
    <mergeCell ref="A38:H38"/>
    <mergeCell ref="B44:E44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V4 – Paul 28h (4 Tage) + Dominique 40h, ohne Tagesmutter</t>
        </is>
      </c>
    </row>
    <row r="2">
      <c r="A2" s="9" t="inlineStr">
        <is>
          <t>Paul: Mo/Di Büro 7h, Mi Hybrid, Do HO 7h. Fr KOMPLETT FREI.</t>
        </is>
      </c>
    </row>
    <row r="4">
      <c r="A4" s="19" t="inlineStr">
        <is>
          <t>Wochenplan (07:30–18:00)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Dom frei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Dom frei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Dom frei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Paul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Paul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Dom HO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Dom HO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Dom HO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Paul HO</t>
        </is>
      </c>
      <c r="N8" s="25" t="inlineStr">
        <is>
          <t>Frei</t>
        </is>
      </c>
      <c r="O8" s="27" t="inlineStr">
        <is>
          <t>Büro</t>
        </is>
      </c>
      <c r="P8" s="26" t="inlineStr">
        <is>
          <t>Paul frei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Dom HO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Dom HO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Dom HO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Paul HO</t>
        </is>
      </c>
      <c r="N9" s="25" t="inlineStr">
        <is>
          <t>Frei</t>
        </is>
      </c>
      <c r="O9" s="27" t="inlineStr">
        <is>
          <t>Büro</t>
        </is>
      </c>
      <c r="P9" s="26" t="inlineStr">
        <is>
          <t>Paul frei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Dom HO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Dom HO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Dom HO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Paul HO</t>
        </is>
      </c>
      <c r="N10" s="25" t="inlineStr">
        <is>
          <t>Frei</t>
        </is>
      </c>
      <c r="O10" s="27" t="inlineStr">
        <is>
          <t>Büro</t>
        </is>
      </c>
      <c r="P10" s="26" t="inlineStr">
        <is>
          <t>Paul frei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Dom HO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Dom HO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Dom HO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Paul HO</t>
        </is>
      </c>
      <c r="N11" s="25" t="inlineStr">
        <is>
          <t>Frei</t>
        </is>
      </c>
      <c r="O11" s="27" t="inlineStr">
        <is>
          <t>Büro</t>
        </is>
      </c>
      <c r="P11" s="26" t="inlineStr">
        <is>
          <t>Paul frei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Dom HO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Dom HO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Dom HO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Paul HO</t>
        </is>
      </c>
      <c r="N12" s="25" t="inlineStr">
        <is>
          <t>Frei</t>
        </is>
      </c>
      <c r="O12" s="27" t="inlineStr">
        <is>
          <t>Büro</t>
        </is>
      </c>
      <c r="P12" s="26" t="inlineStr">
        <is>
          <t>Paul frei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Dom HO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Dom HO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Dom HO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Paul HO</t>
        </is>
      </c>
      <c r="N13" s="25" t="inlineStr">
        <is>
          <t>Frei</t>
        </is>
      </c>
      <c r="O13" s="27" t="inlineStr">
        <is>
          <t>Büro</t>
        </is>
      </c>
      <c r="P13" s="26" t="inlineStr">
        <is>
          <t>Paul frei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Dom HO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Dom HO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Dom HO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Paul HO</t>
        </is>
      </c>
      <c r="N14" s="25" t="inlineStr">
        <is>
          <t>Frei</t>
        </is>
      </c>
      <c r="O14" s="27" t="inlineStr">
        <is>
          <t>Büro</t>
        </is>
      </c>
      <c r="P14" s="26" t="inlineStr">
        <is>
          <t>Paul frei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Dom HO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Dom HO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Dom HO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Paul HO</t>
        </is>
      </c>
      <c r="N15" s="25" t="inlineStr">
        <is>
          <t>Frei</t>
        </is>
      </c>
      <c r="O15" s="27" t="inlineStr">
        <is>
          <t>Büro</t>
        </is>
      </c>
      <c r="P15" s="26" t="inlineStr">
        <is>
          <t>Paul frei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Dom Pause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Dom Pause</t>
        </is>
      </c>
      <c r="H16" s="24" t="inlineStr">
        <is>
          <t>→Home</t>
        </is>
      </c>
      <c r="I16" s="30" t="inlineStr">
        <is>
          <t>Pause</t>
        </is>
      </c>
      <c r="J16" s="26" t="inlineStr">
        <is>
          <t>Dom Pause</t>
        </is>
      </c>
      <c r="K16" s="30" t="inlineStr">
        <is>
          <t>Pause</t>
        </is>
      </c>
      <c r="L16" s="29" t="inlineStr">
        <is>
          <t>Pause</t>
        </is>
      </c>
      <c r="M16" s="26" t="inlineStr">
        <is>
          <t>Paul Pause</t>
        </is>
      </c>
      <c r="N16" s="25" t="inlineStr">
        <is>
          <t>Frei</t>
        </is>
      </c>
      <c r="O16" s="29" t="inlineStr">
        <is>
          <t>Pause</t>
        </is>
      </c>
      <c r="P16" s="26" t="inlineStr">
        <is>
          <t>Paul frei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Dom HO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Dom HO</t>
        </is>
      </c>
      <c r="H17" s="30" t="inlineStr">
        <is>
          <t>Pause</t>
        </is>
      </c>
      <c r="I17" s="24" t="inlineStr">
        <is>
          <t>→Büro</t>
        </is>
      </c>
      <c r="J17" s="26" t="inlineStr">
        <is>
          <t>Paul Pause</t>
        </is>
      </c>
      <c r="K17" s="28" t="inlineStr">
        <is>
          <t>HO</t>
        </is>
      </c>
      <c r="L17" s="27" t="inlineStr">
        <is>
          <t>Büro</t>
        </is>
      </c>
      <c r="M17" s="26" t="inlineStr">
        <is>
          <t>Paul HO</t>
        </is>
      </c>
      <c r="N17" s="25" t="inlineStr">
        <is>
          <t>Frei</t>
        </is>
      </c>
      <c r="O17" s="27" t="inlineStr">
        <is>
          <t>Büro</t>
        </is>
      </c>
      <c r="P17" s="26" t="inlineStr">
        <is>
          <t>Paul frei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8" t="inlineStr">
        <is>
          <t>HO</t>
        </is>
      </c>
      <c r="L18" s="27" t="inlineStr">
        <is>
          <t>Büro</t>
        </is>
      </c>
      <c r="M18" s="26" t="inlineStr">
        <is>
          <t>Paul HO</t>
        </is>
      </c>
      <c r="N18" s="25" t="inlineStr">
        <is>
          <t>Frei</t>
        </is>
      </c>
      <c r="O18" s="27" t="inlineStr">
        <is>
          <t>Büro</t>
        </is>
      </c>
      <c r="P18" s="26" t="inlineStr">
        <is>
          <t>Paul frei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8" t="inlineStr">
        <is>
          <t>HO</t>
        </is>
      </c>
      <c r="L19" s="27" t="inlineStr">
        <is>
          <t>Büro</t>
        </is>
      </c>
      <c r="M19" s="26" t="inlineStr">
        <is>
          <t>Paul HO</t>
        </is>
      </c>
      <c r="N19" s="25" t="inlineStr">
        <is>
          <t>Frei</t>
        </is>
      </c>
      <c r="O19" s="27" t="inlineStr">
        <is>
          <t>Büro</t>
        </is>
      </c>
      <c r="P19" s="26" t="inlineStr">
        <is>
          <t>Paul frei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8" t="inlineStr">
        <is>
          <t>HO</t>
        </is>
      </c>
      <c r="L20" s="27" t="inlineStr">
        <is>
          <t>Büro</t>
        </is>
      </c>
      <c r="M20" s="26" t="inlineStr">
        <is>
          <t>Paul HO</t>
        </is>
      </c>
      <c r="N20" s="25" t="inlineStr">
        <is>
          <t>Frei</t>
        </is>
      </c>
      <c r="O20" s="27" t="inlineStr">
        <is>
          <t>Büro</t>
        </is>
      </c>
      <c r="P20" s="26" t="inlineStr">
        <is>
          <t>Paul frei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8" t="inlineStr">
        <is>
          <t>HO</t>
        </is>
      </c>
      <c r="L21" s="27" t="inlineStr">
        <is>
          <t>Büro</t>
        </is>
      </c>
      <c r="M21" s="26" t="inlineStr">
        <is>
          <t>Paul HO</t>
        </is>
      </c>
      <c r="N21" s="25" t="inlineStr">
        <is>
          <t>Frei</t>
        </is>
      </c>
      <c r="O21" s="27" t="inlineStr">
        <is>
          <t>Büro</t>
        </is>
      </c>
      <c r="P21" s="26" t="inlineStr">
        <is>
          <t>Paul frei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8" t="inlineStr">
        <is>
          <t>HO</t>
        </is>
      </c>
      <c r="L22" s="27" t="inlineStr">
        <is>
          <t>Büro</t>
        </is>
      </c>
      <c r="M22" s="26" t="inlineStr">
        <is>
          <t>Paul HO</t>
        </is>
      </c>
      <c r="N22" s="25" t="inlineStr">
        <is>
          <t>Frei</t>
        </is>
      </c>
      <c r="O22" s="27" t="inlineStr">
        <is>
          <t>Büro</t>
        </is>
      </c>
      <c r="P22" s="26" t="inlineStr">
        <is>
          <t>Paul frei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8" t="inlineStr">
        <is>
          <t>HO</t>
        </is>
      </c>
      <c r="D23" s="26" t="inlineStr">
        <is>
          <t>Dom HO</t>
        </is>
      </c>
      <c r="E23" s="24" t="inlineStr">
        <is>
          <t>→Home</t>
        </is>
      </c>
      <c r="F23" s="28" t="inlineStr">
        <is>
          <t>HO</t>
        </is>
      </c>
      <c r="G23" s="26" t="inlineStr">
        <is>
          <t>Dom HO</t>
        </is>
      </c>
      <c r="H23" s="28" t="inlineStr">
        <is>
          <t>HO</t>
        </is>
      </c>
      <c r="I23" s="27" t="inlineStr">
        <is>
          <t>Büro</t>
        </is>
      </c>
      <c r="J23" s="26" t="inlineStr">
        <is>
          <t>Paul HO</t>
        </is>
      </c>
      <c r="K23" s="25" t="inlineStr">
        <is>
          <t>Frei</t>
        </is>
      </c>
      <c r="L23" s="27" t="inlineStr">
        <is>
          <t>Büro</t>
        </is>
      </c>
      <c r="M23" s="26" t="inlineStr">
        <is>
          <t>Paul frei</t>
        </is>
      </c>
      <c r="N23" s="25" t="inlineStr">
        <is>
          <t>Frei</t>
        </is>
      </c>
      <c r="O23" s="27" t="inlineStr">
        <is>
          <t>Büro</t>
        </is>
      </c>
      <c r="P23" s="26" t="inlineStr">
        <is>
          <t>Paul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8" t="inlineStr">
        <is>
          <t>HO</t>
        </is>
      </c>
      <c r="D24" s="26" t="inlineStr">
        <is>
          <t>P:frei D:HO</t>
        </is>
      </c>
      <c r="E24" s="25" t="inlineStr">
        <is>
          <t>Frei</t>
        </is>
      </c>
      <c r="F24" s="28" t="inlineStr">
        <is>
          <t>HO</t>
        </is>
      </c>
      <c r="G24" s="26" t="inlineStr">
        <is>
          <t>P:frei D:HO</t>
        </is>
      </c>
      <c r="H24" s="25" t="inlineStr">
        <is>
          <t>Frei</t>
        </is>
      </c>
      <c r="I24" s="27" t="inlineStr">
        <is>
          <t>Büro</t>
        </is>
      </c>
      <c r="J24" s="26" t="inlineStr">
        <is>
          <t>Paul frei</t>
        </is>
      </c>
      <c r="K24" s="25" t="inlineStr">
        <is>
          <t>Frei</t>
        </is>
      </c>
      <c r="L24" s="27" t="inlineStr">
        <is>
          <t>Büro</t>
        </is>
      </c>
      <c r="M24" s="26" t="inlineStr">
        <is>
          <t>Paul frei</t>
        </is>
      </c>
      <c r="N24" s="25" t="inlineStr">
        <is>
          <t>Frei</t>
        </is>
      </c>
      <c r="O24" s="27" t="inlineStr">
        <is>
          <t>Büro</t>
        </is>
      </c>
      <c r="P24" s="26" t="inlineStr">
        <is>
          <t>Paul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7" t="inlineStr">
        <is>
          <t>Büro</t>
        </is>
      </c>
      <c r="J25" s="26" t="inlineStr">
        <is>
          <t>Paul frei</t>
        </is>
      </c>
      <c r="K25" s="25" t="inlineStr">
        <is>
          <t>Frei</t>
        </is>
      </c>
      <c r="L25" s="24" t="inlineStr">
        <is>
          <t>→Home</t>
        </is>
      </c>
      <c r="M25" s="26" t="inlineStr">
        <is>
          <t>Paul frei</t>
        </is>
      </c>
      <c r="N25" s="25" t="inlineStr">
        <is>
          <t>Frei</t>
        </is>
      </c>
      <c r="O25" s="24" t="inlineStr">
        <is>
          <t>→Home</t>
        </is>
      </c>
      <c r="P25" s="26" t="inlineStr">
        <is>
          <t>Paul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7">
      <c r="A27" s="23" t="inlineStr">
        <is>
          <t>17:30</t>
        </is>
      </c>
      <c r="B27" s="25" t="inlineStr">
        <is>
          <t>Frei</t>
        </is>
      </c>
      <c r="C27" s="25" t="inlineStr">
        <is>
          <t>Frei</t>
        </is>
      </c>
      <c r="D27" s="26" t="inlineStr">
        <is>
          <t>Beide frei</t>
        </is>
      </c>
      <c r="E27" s="25" t="inlineStr">
        <is>
          <t>Frei</t>
        </is>
      </c>
      <c r="F27" s="25" t="inlineStr">
        <is>
          <t>Frei</t>
        </is>
      </c>
      <c r="G27" s="26" t="inlineStr">
        <is>
          <t>Beide frei</t>
        </is>
      </c>
      <c r="H27" s="25" t="inlineStr">
        <is>
          <t>Frei</t>
        </is>
      </c>
      <c r="I27" s="25" t="inlineStr">
        <is>
          <t>Frei</t>
        </is>
      </c>
      <c r="J27" s="26" t="inlineStr">
        <is>
          <t>Beide frei</t>
        </is>
      </c>
      <c r="K27" s="25" t="inlineStr">
        <is>
          <t>Frei</t>
        </is>
      </c>
      <c r="L27" s="25" t="inlineStr">
        <is>
          <t>Frei</t>
        </is>
      </c>
      <c r="M27" s="26" t="inlineStr">
        <is>
          <t>Beide frei</t>
        </is>
      </c>
      <c r="N27" s="25" t="inlineStr">
        <is>
          <t>Frei</t>
        </is>
      </c>
      <c r="O27" s="25" t="inlineStr">
        <is>
          <t>Frei</t>
        </is>
      </c>
      <c r="P27" s="26" t="inlineStr">
        <is>
          <t>Beide frei</t>
        </is>
      </c>
    </row>
    <row r="29">
      <c r="A29" s="3" t="inlineStr">
        <is>
          <t>Einkommen &amp; Kosten</t>
        </is>
      </c>
    </row>
    <row r="30">
      <c r="A30" s="31" t="inlineStr"/>
      <c r="B30" s="31" t="inlineStr">
        <is>
          <t>Wochenstd.</t>
        </is>
      </c>
      <c r="C30" s="31" t="inlineStr">
        <is>
          <t>Vollzeit Brutto/J</t>
        </is>
      </c>
      <c r="D30" s="31" t="inlineStr">
        <is>
          <t>Anteil</t>
        </is>
      </c>
      <c r="E30" s="31" t="inlineStr">
        <is>
          <t>Brutto/Mon</t>
        </is>
      </c>
      <c r="F30" s="31" t="inlineStr">
        <is>
          <t>Brutto/Jahr</t>
        </is>
      </c>
      <c r="G30" s="31" t="inlineStr">
        <is>
          <t>Netto/Mon (≈)</t>
        </is>
      </c>
      <c r="H30" s="31" t="inlineStr">
        <is>
          <t>Netto/Jahr (≈)</t>
        </is>
      </c>
    </row>
    <row r="31">
      <c r="A31" s="32" t="inlineStr">
        <is>
          <t>Paul</t>
        </is>
      </c>
      <c r="B31" s="33" t="n">
        <v>28</v>
      </c>
      <c r="C31" s="34" t="n">
        <v>96000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2" t="inlineStr">
        <is>
          <t>Dominique</t>
        </is>
      </c>
      <c r="B32" s="33" t="n">
        <v>40</v>
      </c>
      <c r="C32" s="34" t="n">
        <v>84000</v>
      </c>
      <c r="D32" s="35">
        <f>B32/40</f>
        <v/>
      </c>
      <c r="E32" s="34">
        <f>C32*D32/12</f>
        <v/>
      </c>
      <c r="F32" s="34">
        <f>C32*D32</f>
        <v/>
      </c>
      <c r="G32" s="34">
        <f>IF(E32&gt;=8000,E32*0.6,IF(E32&gt;=7000,E32*0.61,IF(E32&gt;=6000,E32*0.62,IF(E32&gt;=5000,E32*0.64,IF(E32&gt;=4000,E32*0.66,IF(E32&gt;=3000,E32*0.68,E32*0.70))))))</f>
        <v/>
      </c>
      <c r="H32" s="34">
        <f>G32*12</f>
        <v/>
      </c>
    </row>
    <row r="33">
      <c r="A33" s="36" t="inlineStr">
        <is>
          <t>Haushalt gesamt</t>
        </is>
      </c>
      <c r="B33" s="37">
        <f>B31+B32</f>
        <v/>
      </c>
      <c r="C33" s="36" t="n"/>
      <c r="D33" s="36" t="n"/>
      <c r="E33" s="38">
        <f>E31+E32</f>
        <v/>
      </c>
      <c r="F33" s="38">
        <f>F31+F32</f>
        <v/>
      </c>
      <c r="G33" s="38">
        <f>G31+G32</f>
        <v/>
      </c>
      <c r="H33" s="38">
        <f>H31+H32</f>
        <v/>
      </c>
    </row>
    <row r="35">
      <c r="A35" s="7" t="inlineStr">
        <is>
          <t>Haushaltseinkommen lt. Satzung (Brutto -30%)</t>
        </is>
      </c>
      <c r="B35" s="39">
        <f>F33*0.7</f>
        <v/>
      </c>
    </row>
    <row r="36">
      <c r="A36" s="7" t="inlineStr">
        <is>
          <t>Netto-Haushalt / Monat (ohne TM)</t>
        </is>
      </c>
      <c r="B36" s="40">
        <f>G33</f>
        <v/>
      </c>
    </row>
    <row r="38">
      <c r="A38" s="9" t="inlineStr">
        <is>
          <t>Netto-Schätzung: Steuerklasse IV/IV, verheiratet, 1 Kind, 2026 (Quelle: brutto-netto-rechner.info Näherung).</t>
        </is>
      </c>
    </row>
    <row r="40">
      <c r="A40" s="7" t="inlineStr">
        <is>
          <t>Legende:</t>
        </is>
      </c>
    </row>
    <row r="41">
      <c r="A41" s="8" t="inlineStr"/>
      <c r="B41" s="9" t="inlineStr">
        <is>
          <t>Büro</t>
        </is>
      </c>
    </row>
    <row r="42">
      <c r="A42" s="10" t="inlineStr"/>
      <c r="B42" s="9" t="inlineStr">
        <is>
          <t>Homeoffice (HO) – ca. 50% Eigen-Betreuung möglich</t>
        </is>
      </c>
    </row>
    <row r="43">
      <c r="A43" s="11" t="inlineStr"/>
      <c r="B43" s="9" t="inlineStr">
        <is>
          <t>Pendeln (→Büro / →Home)</t>
        </is>
      </c>
    </row>
    <row r="44">
      <c r="A44" s="12" t="inlineStr"/>
      <c r="B44" s="9" t="inlineStr">
        <is>
          <t>Pause @ Büro (unbezahlt)</t>
        </is>
      </c>
    </row>
    <row r="45">
      <c r="A45" s="13" t="inlineStr"/>
      <c r="B45" s="9" t="inlineStr">
        <is>
          <t>Pause @ Zuhause (unbezahlt)</t>
        </is>
      </c>
    </row>
    <row r="46">
      <c r="A46" s="14" t="inlineStr"/>
      <c r="B46" s="9" t="inlineStr">
        <is>
          <t>Tagesmutter</t>
        </is>
      </c>
    </row>
    <row r="47">
      <c r="A47" s="15" t="inlineStr"/>
      <c r="B47" s="9" t="inlineStr">
        <is>
          <t>Frei / Eltern-Betreuung</t>
        </is>
      </c>
    </row>
    <row r="48">
      <c r="A48" s="16" t="inlineStr"/>
      <c r="B48" s="9" t="inlineStr">
        <is>
          <t>Niklas: betreut</t>
        </is>
      </c>
    </row>
    <row r="49">
      <c r="A49" s="17" t="inlineStr"/>
      <c r="B49" s="9" t="inlineStr">
        <is>
          <t>Niklas: LÜCKE</t>
        </is>
      </c>
    </row>
  </sheetData>
  <mergeCells count="19">
    <mergeCell ref="B49:E49"/>
    <mergeCell ref="N5:P5"/>
    <mergeCell ref="A4:P4"/>
    <mergeCell ref="B45:E45"/>
    <mergeCell ref="B41:E41"/>
    <mergeCell ref="B47:E47"/>
    <mergeCell ref="B46:E46"/>
    <mergeCell ref="B5:D5"/>
    <mergeCell ref="B43:E43"/>
    <mergeCell ref="A1:P1"/>
    <mergeCell ref="H5:J5"/>
    <mergeCell ref="B48:E48"/>
    <mergeCell ref="B42:E42"/>
    <mergeCell ref="A29:H29"/>
    <mergeCell ref="E5:G5"/>
    <mergeCell ref="K5:M5"/>
    <mergeCell ref="A38:H38"/>
    <mergeCell ref="B44:E44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V5 – Paul 21h (3 Tage) + Dominique 40h, ohne Tagesmutter</t>
        </is>
      </c>
    </row>
    <row r="2">
      <c r="A2" s="9" t="inlineStr">
        <is>
          <t>Paul: Mo/Di Büro 7h, Mi HO 7h. Do/Fr komplett FREI.</t>
        </is>
      </c>
    </row>
    <row r="4">
      <c r="A4" s="19" t="inlineStr">
        <is>
          <t>Wochenplan (07:30–18:00)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Dom frei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Dom frei</t>
        </is>
      </c>
      <c r="H7" s="25" t="inlineStr">
        <is>
          <t>Frei</t>
        </is>
      </c>
      <c r="I7" s="25" t="inlineStr">
        <is>
          <t>Frei</t>
        </is>
      </c>
      <c r="J7" s="26" t="inlineStr">
        <is>
          <t>Beide frei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Paul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Paul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Dom HO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Dom HO</t>
        </is>
      </c>
      <c r="H8" s="28" t="inlineStr">
        <is>
          <t>HO</t>
        </is>
      </c>
      <c r="I8" s="28" t="inlineStr">
        <is>
          <t>HO</t>
        </is>
      </c>
      <c r="J8" s="26" t="inlineStr">
        <is>
          <t>P:HO D:HO</t>
        </is>
      </c>
      <c r="K8" s="25" t="inlineStr">
        <is>
          <t>Frei</t>
        </is>
      </c>
      <c r="L8" s="27" t="inlineStr">
        <is>
          <t>Büro</t>
        </is>
      </c>
      <c r="M8" s="26" t="inlineStr">
        <is>
          <t>Paul frei</t>
        </is>
      </c>
      <c r="N8" s="25" t="inlineStr">
        <is>
          <t>Frei</t>
        </is>
      </c>
      <c r="O8" s="27" t="inlineStr">
        <is>
          <t>Büro</t>
        </is>
      </c>
      <c r="P8" s="26" t="inlineStr">
        <is>
          <t>Paul frei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Dom HO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Dom HO</t>
        </is>
      </c>
      <c r="H9" s="28" t="inlineStr">
        <is>
          <t>HO</t>
        </is>
      </c>
      <c r="I9" s="28" t="inlineStr">
        <is>
          <t>HO</t>
        </is>
      </c>
      <c r="J9" s="26" t="inlineStr">
        <is>
          <t>P:HO D:HO</t>
        </is>
      </c>
      <c r="K9" s="25" t="inlineStr">
        <is>
          <t>Frei</t>
        </is>
      </c>
      <c r="L9" s="27" t="inlineStr">
        <is>
          <t>Büro</t>
        </is>
      </c>
      <c r="M9" s="26" t="inlineStr">
        <is>
          <t>Paul frei</t>
        </is>
      </c>
      <c r="N9" s="25" t="inlineStr">
        <is>
          <t>Frei</t>
        </is>
      </c>
      <c r="O9" s="27" t="inlineStr">
        <is>
          <t>Büro</t>
        </is>
      </c>
      <c r="P9" s="26" t="inlineStr">
        <is>
          <t>Paul frei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Dom HO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Dom HO</t>
        </is>
      </c>
      <c r="H10" s="28" t="inlineStr">
        <is>
          <t>HO</t>
        </is>
      </c>
      <c r="I10" s="28" t="inlineStr">
        <is>
          <t>HO</t>
        </is>
      </c>
      <c r="J10" s="26" t="inlineStr">
        <is>
          <t>P:HO D:HO</t>
        </is>
      </c>
      <c r="K10" s="25" t="inlineStr">
        <is>
          <t>Frei</t>
        </is>
      </c>
      <c r="L10" s="27" t="inlineStr">
        <is>
          <t>Büro</t>
        </is>
      </c>
      <c r="M10" s="26" t="inlineStr">
        <is>
          <t>Paul frei</t>
        </is>
      </c>
      <c r="N10" s="25" t="inlineStr">
        <is>
          <t>Frei</t>
        </is>
      </c>
      <c r="O10" s="27" t="inlineStr">
        <is>
          <t>Büro</t>
        </is>
      </c>
      <c r="P10" s="26" t="inlineStr">
        <is>
          <t>Paul frei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Dom HO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Dom HO</t>
        </is>
      </c>
      <c r="H11" s="28" t="inlineStr">
        <is>
          <t>HO</t>
        </is>
      </c>
      <c r="I11" s="28" t="inlineStr">
        <is>
          <t>HO</t>
        </is>
      </c>
      <c r="J11" s="26" t="inlineStr">
        <is>
          <t>P:HO D:HO</t>
        </is>
      </c>
      <c r="K11" s="25" t="inlineStr">
        <is>
          <t>Frei</t>
        </is>
      </c>
      <c r="L11" s="27" t="inlineStr">
        <is>
          <t>Büro</t>
        </is>
      </c>
      <c r="M11" s="26" t="inlineStr">
        <is>
          <t>Paul frei</t>
        </is>
      </c>
      <c r="N11" s="25" t="inlineStr">
        <is>
          <t>Frei</t>
        </is>
      </c>
      <c r="O11" s="27" t="inlineStr">
        <is>
          <t>Büro</t>
        </is>
      </c>
      <c r="P11" s="26" t="inlineStr">
        <is>
          <t>Paul frei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Dom HO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Dom HO</t>
        </is>
      </c>
      <c r="H12" s="28" t="inlineStr">
        <is>
          <t>HO</t>
        </is>
      </c>
      <c r="I12" s="28" t="inlineStr">
        <is>
          <t>HO</t>
        </is>
      </c>
      <c r="J12" s="26" t="inlineStr">
        <is>
          <t>P:HO D:HO</t>
        </is>
      </c>
      <c r="K12" s="25" t="inlineStr">
        <is>
          <t>Frei</t>
        </is>
      </c>
      <c r="L12" s="27" t="inlineStr">
        <is>
          <t>Büro</t>
        </is>
      </c>
      <c r="M12" s="26" t="inlineStr">
        <is>
          <t>Paul frei</t>
        </is>
      </c>
      <c r="N12" s="25" t="inlineStr">
        <is>
          <t>Frei</t>
        </is>
      </c>
      <c r="O12" s="27" t="inlineStr">
        <is>
          <t>Büro</t>
        </is>
      </c>
      <c r="P12" s="26" t="inlineStr">
        <is>
          <t>Paul frei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Dom HO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Dom HO</t>
        </is>
      </c>
      <c r="H13" s="28" t="inlineStr">
        <is>
          <t>HO</t>
        </is>
      </c>
      <c r="I13" s="28" t="inlineStr">
        <is>
          <t>HO</t>
        </is>
      </c>
      <c r="J13" s="26" t="inlineStr">
        <is>
          <t>P:HO D:HO</t>
        </is>
      </c>
      <c r="K13" s="25" t="inlineStr">
        <is>
          <t>Frei</t>
        </is>
      </c>
      <c r="L13" s="27" t="inlineStr">
        <is>
          <t>Büro</t>
        </is>
      </c>
      <c r="M13" s="26" t="inlineStr">
        <is>
          <t>Paul frei</t>
        </is>
      </c>
      <c r="N13" s="25" t="inlineStr">
        <is>
          <t>Frei</t>
        </is>
      </c>
      <c r="O13" s="27" t="inlineStr">
        <is>
          <t>Büro</t>
        </is>
      </c>
      <c r="P13" s="26" t="inlineStr">
        <is>
          <t>Paul frei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Dom HO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Dom HO</t>
        </is>
      </c>
      <c r="H14" s="28" t="inlineStr">
        <is>
          <t>HO</t>
        </is>
      </c>
      <c r="I14" s="28" t="inlineStr">
        <is>
          <t>HO</t>
        </is>
      </c>
      <c r="J14" s="26" t="inlineStr">
        <is>
          <t>P:HO D:HO</t>
        </is>
      </c>
      <c r="K14" s="25" t="inlineStr">
        <is>
          <t>Frei</t>
        </is>
      </c>
      <c r="L14" s="27" t="inlineStr">
        <is>
          <t>Büro</t>
        </is>
      </c>
      <c r="M14" s="26" t="inlineStr">
        <is>
          <t>Paul frei</t>
        </is>
      </c>
      <c r="N14" s="25" t="inlineStr">
        <is>
          <t>Frei</t>
        </is>
      </c>
      <c r="O14" s="27" t="inlineStr">
        <is>
          <t>Büro</t>
        </is>
      </c>
      <c r="P14" s="26" t="inlineStr">
        <is>
          <t>Paul frei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Dom HO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Dom HO</t>
        </is>
      </c>
      <c r="H15" s="28" t="inlineStr">
        <is>
          <t>HO</t>
        </is>
      </c>
      <c r="I15" s="28" t="inlineStr">
        <is>
          <t>HO</t>
        </is>
      </c>
      <c r="J15" s="26" t="inlineStr">
        <is>
          <t>P:HO D:HO</t>
        </is>
      </c>
      <c r="K15" s="25" t="inlineStr">
        <is>
          <t>Frei</t>
        </is>
      </c>
      <c r="L15" s="27" t="inlineStr">
        <is>
          <t>Büro</t>
        </is>
      </c>
      <c r="M15" s="26" t="inlineStr">
        <is>
          <t>Paul frei</t>
        </is>
      </c>
      <c r="N15" s="25" t="inlineStr">
        <is>
          <t>Frei</t>
        </is>
      </c>
      <c r="O15" s="27" t="inlineStr">
        <is>
          <t>Büro</t>
        </is>
      </c>
      <c r="P15" s="26" t="inlineStr">
        <is>
          <t>Paul frei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Dom Pause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Dom Pause</t>
        </is>
      </c>
      <c r="H16" s="30" t="inlineStr">
        <is>
          <t>Pause</t>
        </is>
      </c>
      <c r="I16" s="30" t="inlineStr">
        <is>
          <t>Pause</t>
        </is>
      </c>
      <c r="J16" s="26" t="inlineStr">
        <is>
          <t>P:Pause D:Pause</t>
        </is>
      </c>
      <c r="K16" s="25" t="inlineStr">
        <is>
          <t>Frei</t>
        </is>
      </c>
      <c r="L16" s="29" t="inlineStr">
        <is>
          <t>Pause</t>
        </is>
      </c>
      <c r="M16" s="26" t="inlineStr">
        <is>
          <t>Paul frei</t>
        </is>
      </c>
      <c r="N16" s="25" t="inlineStr">
        <is>
          <t>Frei</t>
        </is>
      </c>
      <c r="O16" s="29" t="inlineStr">
        <is>
          <t>Pause</t>
        </is>
      </c>
      <c r="P16" s="26" t="inlineStr">
        <is>
          <t>Paul frei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Dom HO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Dom HO</t>
        </is>
      </c>
      <c r="H17" s="28" t="inlineStr">
        <is>
          <t>HO</t>
        </is>
      </c>
      <c r="I17" s="24" t="inlineStr">
        <is>
          <t>→Büro</t>
        </is>
      </c>
      <c r="J17" s="26" t="inlineStr">
        <is>
          <t>Paul HO</t>
        </is>
      </c>
      <c r="K17" s="25" t="inlineStr">
        <is>
          <t>Frei</t>
        </is>
      </c>
      <c r="L17" s="27" t="inlineStr">
        <is>
          <t>Büro</t>
        </is>
      </c>
      <c r="M17" s="26" t="inlineStr">
        <is>
          <t>Paul frei</t>
        </is>
      </c>
      <c r="N17" s="25" t="inlineStr">
        <is>
          <t>Frei</t>
        </is>
      </c>
      <c r="O17" s="27" t="inlineStr">
        <is>
          <t>Büro</t>
        </is>
      </c>
      <c r="P17" s="26" t="inlineStr">
        <is>
          <t>Paul frei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5" t="inlineStr">
        <is>
          <t>Frei</t>
        </is>
      </c>
      <c r="L18" s="27" t="inlineStr">
        <is>
          <t>Büro</t>
        </is>
      </c>
      <c r="M18" s="26" t="inlineStr">
        <is>
          <t>Paul frei</t>
        </is>
      </c>
      <c r="N18" s="25" t="inlineStr">
        <is>
          <t>Frei</t>
        </is>
      </c>
      <c r="O18" s="27" t="inlineStr">
        <is>
          <t>Büro</t>
        </is>
      </c>
      <c r="P18" s="26" t="inlineStr">
        <is>
          <t>Paul frei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5" t="inlineStr">
        <is>
          <t>Frei</t>
        </is>
      </c>
      <c r="L19" s="27" t="inlineStr">
        <is>
          <t>Büro</t>
        </is>
      </c>
      <c r="M19" s="26" t="inlineStr">
        <is>
          <t>Paul frei</t>
        </is>
      </c>
      <c r="N19" s="25" t="inlineStr">
        <is>
          <t>Frei</t>
        </is>
      </c>
      <c r="O19" s="27" t="inlineStr">
        <is>
          <t>Büro</t>
        </is>
      </c>
      <c r="P19" s="26" t="inlineStr">
        <is>
          <t>Paul frei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5" t="inlineStr">
        <is>
          <t>Frei</t>
        </is>
      </c>
      <c r="L20" s="27" t="inlineStr">
        <is>
          <t>Büro</t>
        </is>
      </c>
      <c r="M20" s="26" t="inlineStr">
        <is>
          <t>Paul frei</t>
        </is>
      </c>
      <c r="N20" s="25" t="inlineStr">
        <is>
          <t>Frei</t>
        </is>
      </c>
      <c r="O20" s="27" t="inlineStr">
        <is>
          <t>Büro</t>
        </is>
      </c>
      <c r="P20" s="26" t="inlineStr">
        <is>
          <t>Paul frei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5" t="inlineStr">
        <is>
          <t>Frei</t>
        </is>
      </c>
      <c r="L21" s="27" t="inlineStr">
        <is>
          <t>Büro</t>
        </is>
      </c>
      <c r="M21" s="26" t="inlineStr">
        <is>
          <t>Paul frei</t>
        </is>
      </c>
      <c r="N21" s="25" t="inlineStr">
        <is>
          <t>Frei</t>
        </is>
      </c>
      <c r="O21" s="27" t="inlineStr">
        <is>
          <t>Büro</t>
        </is>
      </c>
      <c r="P21" s="26" t="inlineStr">
        <is>
          <t>Paul frei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5" t="inlineStr">
        <is>
          <t>Frei</t>
        </is>
      </c>
      <c r="L22" s="27" t="inlineStr">
        <is>
          <t>Büro</t>
        </is>
      </c>
      <c r="M22" s="26" t="inlineStr">
        <is>
          <t>Paul frei</t>
        </is>
      </c>
      <c r="N22" s="25" t="inlineStr">
        <is>
          <t>Frei</t>
        </is>
      </c>
      <c r="O22" s="27" t="inlineStr">
        <is>
          <t>Büro</t>
        </is>
      </c>
      <c r="P22" s="26" t="inlineStr">
        <is>
          <t>Paul frei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8" t="inlineStr">
        <is>
          <t>HO</t>
        </is>
      </c>
      <c r="D23" s="26" t="inlineStr">
        <is>
          <t>Dom HO</t>
        </is>
      </c>
      <c r="E23" s="24" t="inlineStr">
        <is>
          <t>→Home</t>
        </is>
      </c>
      <c r="F23" s="28" t="inlineStr">
        <is>
          <t>HO</t>
        </is>
      </c>
      <c r="G23" s="26" t="inlineStr">
        <is>
          <t>Dom HO</t>
        </is>
      </c>
      <c r="H23" s="25" t="inlineStr">
        <is>
          <t>Frei</t>
        </is>
      </c>
      <c r="I23" s="27" t="inlineStr">
        <is>
          <t>Büro</t>
        </is>
      </c>
      <c r="J23" s="26" t="inlineStr">
        <is>
          <t>Paul frei</t>
        </is>
      </c>
      <c r="K23" s="25" t="inlineStr">
        <is>
          <t>Frei</t>
        </is>
      </c>
      <c r="L23" s="27" t="inlineStr">
        <is>
          <t>Büro</t>
        </is>
      </c>
      <c r="M23" s="26" t="inlineStr">
        <is>
          <t>Paul frei</t>
        </is>
      </c>
      <c r="N23" s="25" t="inlineStr">
        <is>
          <t>Frei</t>
        </is>
      </c>
      <c r="O23" s="27" t="inlineStr">
        <is>
          <t>Büro</t>
        </is>
      </c>
      <c r="P23" s="26" t="inlineStr">
        <is>
          <t>Paul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8" t="inlineStr">
        <is>
          <t>HO</t>
        </is>
      </c>
      <c r="D24" s="26" t="inlineStr">
        <is>
          <t>P:frei D:HO</t>
        </is>
      </c>
      <c r="E24" s="25" t="inlineStr">
        <is>
          <t>Frei</t>
        </is>
      </c>
      <c r="F24" s="28" t="inlineStr">
        <is>
          <t>HO</t>
        </is>
      </c>
      <c r="G24" s="26" t="inlineStr">
        <is>
          <t>P:frei D:HO</t>
        </is>
      </c>
      <c r="H24" s="25" t="inlineStr">
        <is>
          <t>Frei</t>
        </is>
      </c>
      <c r="I24" s="27" t="inlineStr">
        <is>
          <t>Büro</t>
        </is>
      </c>
      <c r="J24" s="26" t="inlineStr">
        <is>
          <t>Paul frei</t>
        </is>
      </c>
      <c r="K24" s="25" t="inlineStr">
        <is>
          <t>Frei</t>
        </is>
      </c>
      <c r="L24" s="27" t="inlineStr">
        <is>
          <t>Büro</t>
        </is>
      </c>
      <c r="M24" s="26" t="inlineStr">
        <is>
          <t>Paul frei</t>
        </is>
      </c>
      <c r="N24" s="25" t="inlineStr">
        <is>
          <t>Frei</t>
        </is>
      </c>
      <c r="O24" s="27" t="inlineStr">
        <is>
          <t>Büro</t>
        </is>
      </c>
      <c r="P24" s="26" t="inlineStr">
        <is>
          <t>Paul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7" t="inlineStr">
        <is>
          <t>Büro</t>
        </is>
      </c>
      <c r="J25" s="26" t="inlineStr">
        <is>
          <t>Paul frei</t>
        </is>
      </c>
      <c r="K25" s="25" t="inlineStr">
        <is>
          <t>Frei</t>
        </is>
      </c>
      <c r="L25" s="24" t="inlineStr">
        <is>
          <t>→Home</t>
        </is>
      </c>
      <c r="M25" s="26" t="inlineStr">
        <is>
          <t>Paul frei</t>
        </is>
      </c>
      <c r="N25" s="25" t="inlineStr">
        <is>
          <t>Frei</t>
        </is>
      </c>
      <c r="O25" s="24" t="inlineStr">
        <is>
          <t>→Home</t>
        </is>
      </c>
      <c r="P25" s="26" t="inlineStr">
        <is>
          <t>Paul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7">
      <c r="A27" s="23" t="inlineStr">
        <is>
          <t>17:30</t>
        </is>
      </c>
      <c r="B27" s="25" t="inlineStr">
        <is>
          <t>Frei</t>
        </is>
      </c>
      <c r="C27" s="25" t="inlineStr">
        <is>
          <t>Frei</t>
        </is>
      </c>
      <c r="D27" s="26" t="inlineStr">
        <is>
          <t>Beide frei</t>
        </is>
      </c>
      <c r="E27" s="25" t="inlineStr">
        <is>
          <t>Frei</t>
        </is>
      </c>
      <c r="F27" s="25" t="inlineStr">
        <is>
          <t>Frei</t>
        </is>
      </c>
      <c r="G27" s="26" t="inlineStr">
        <is>
          <t>Beide frei</t>
        </is>
      </c>
      <c r="H27" s="25" t="inlineStr">
        <is>
          <t>Frei</t>
        </is>
      </c>
      <c r="I27" s="25" t="inlineStr">
        <is>
          <t>Frei</t>
        </is>
      </c>
      <c r="J27" s="26" t="inlineStr">
        <is>
          <t>Beide frei</t>
        </is>
      </c>
      <c r="K27" s="25" t="inlineStr">
        <is>
          <t>Frei</t>
        </is>
      </c>
      <c r="L27" s="25" t="inlineStr">
        <is>
          <t>Frei</t>
        </is>
      </c>
      <c r="M27" s="26" t="inlineStr">
        <is>
          <t>Beide frei</t>
        </is>
      </c>
      <c r="N27" s="25" t="inlineStr">
        <is>
          <t>Frei</t>
        </is>
      </c>
      <c r="O27" s="25" t="inlineStr">
        <is>
          <t>Frei</t>
        </is>
      </c>
      <c r="P27" s="26" t="inlineStr">
        <is>
          <t>Beide frei</t>
        </is>
      </c>
    </row>
    <row r="29">
      <c r="A29" s="3" t="inlineStr">
        <is>
          <t>Einkommen &amp; Kosten</t>
        </is>
      </c>
    </row>
    <row r="30">
      <c r="A30" s="31" t="inlineStr"/>
      <c r="B30" s="31" t="inlineStr">
        <is>
          <t>Wochenstd.</t>
        </is>
      </c>
      <c r="C30" s="31" t="inlineStr">
        <is>
          <t>Vollzeit Brutto/J</t>
        </is>
      </c>
      <c r="D30" s="31" t="inlineStr">
        <is>
          <t>Anteil</t>
        </is>
      </c>
      <c r="E30" s="31" t="inlineStr">
        <is>
          <t>Brutto/Mon</t>
        </is>
      </c>
      <c r="F30" s="31" t="inlineStr">
        <is>
          <t>Brutto/Jahr</t>
        </is>
      </c>
      <c r="G30" s="31" t="inlineStr">
        <is>
          <t>Netto/Mon (≈)</t>
        </is>
      </c>
      <c r="H30" s="31" t="inlineStr">
        <is>
          <t>Netto/Jahr (≈)</t>
        </is>
      </c>
    </row>
    <row r="31">
      <c r="A31" s="32" t="inlineStr">
        <is>
          <t>Paul</t>
        </is>
      </c>
      <c r="B31" s="33" t="n">
        <v>21</v>
      </c>
      <c r="C31" s="34" t="n">
        <v>96000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2" t="inlineStr">
        <is>
          <t>Dominique</t>
        </is>
      </c>
      <c r="B32" s="33" t="n">
        <v>40</v>
      </c>
      <c r="C32" s="34" t="n">
        <v>84000</v>
      </c>
      <c r="D32" s="35">
        <f>B32/40</f>
        <v/>
      </c>
      <c r="E32" s="34">
        <f>C32*D32/12</f>
        <v/>
      </c>
      <c r="F32" s="34">
        <f>C32*D32</f>
        <v/>
      </c>
      <c r="G32" s="34">
        <f>IF(E32&gt;=8000,E32*0.6,IF(E32&gt;=7000,E32*0.61,IF(E32&gt;=6000,E32*0.62,IF(E32&gt;=5000,E32*0.64,IF(E32&gt;=4000,E32*0.66,IF(E32&gt;=3000,E32*0.68,E32*0.70))))))</f>
        <v/>
      </c>
      <c r="H32" s="34">
        <f>G32*12</f>
        <v/>
      </c>
    </row>
    <row r="33">
      <c r="A33" s="36" t="inlineStr">
        <is>
          <t>Haushalt gesamt</t>
        </is>
      </c>
      <c r="B33" s="37">
        <f>B31+B32</f>
        <v/>
      </c>
      <c r="C33" s="36" t="n"/>
      <c r="D33" s="36" t="n"/>
      <c r="E33" s="38">
        <f>E31+E32</f>
        <v/>
      </c>
      <c r="F33" s="38">
        <f>F31+F32</f>
        <v/>
      </c>
      <c r="G33" s="38">
        <f>G31+G32</f>
        <v/>
      </c>
      <c r="H33" s="38">
        <f>H31+H32</f>
        <v/>
      </c>
    </row>
    <row r="35">
      <c r="A35" s="7" t="inlineStr">
        <is>
          <t>Haushaltseinkommen lt. Satzung (Brutto -30%)</t>
        </is>
      </c>
      <c r="B35" s="39">
        <f>F33*0.7</f>
        <v/>
      </c>
    </row>
    <row r="36">
      <c r="A36" s="7" t="inlineStr">
        <is>
          <t>Netto-Haushalt / Monat (ohne TM)</t>
        </is>
      </c>
      <c r="B36" s="40">
        <f>G33</f>
        <v/>
      </c>
    </row>
    <row r="38">
      <c r="A38" s="9" t="inlineStr">
        <is>
          <t>Netto-Schätzung: Steuerklasse IV/IV, verheiratet, 1 Kind, 2026 (Quelle: brutto-netto-rechner.info Näherung).</t>
        </is>
      </c>
    </row>
    <row r="40">
      <c r="A40" s="7" t="inlineStr">
        <is>
          <t>Legende:</t>
        </is>
      </c>
    </row>
    <row r="41">
      <c r="A41" s="8" t="inlineStr"/>
      <c r="B41" s="9" t="inlineStr">
        <is>
          <t>Büro</t>
        </is>
      </c>
    </row>
    <row r="42">
      <c r="A42" s="10" t="inlineStr"/>
      <c r="B42" s="9" t="inlineStr">
        <is>
          <t>Homeoffice (HO) – ca. 50% Eigen-Betreuung möglich</t>
        </is>
      </c>
    </row>
    <row r="43">
      <c r="A43" s="11" t="inlineStr"/>
      <c r="B43" s="9" t="inlineStr">
        <is>
          <t>Pendeln (→Büro / →Home)</t>
        </is>
      </c>
    </row>
    <row r="44">
      <c r="A44" s="12" t="inlineStr"/>
      <c r="B44" s="9" t="inlineStr">
        <is>
          <t>Pause @ Büro (unbezahlt)</t>
        </is>
      </c>
    </row>
    <row r="45">
      <c r="A45" s="13" t="inlineStr"/>
      <c r="B45" s="9" t="inlineStr">
        <is>
          <t>Pause @ Zuhause (unbezahlt)</t>
        </is>
      </c>
    </row>
    <row r="46">
      <c r="A46" s="14" t="inlineStr"/>
      <c r="B46" s="9" t="inlineStr">
        <is>
          <t>Tagesmutter</t>
        </is>
      </c>
    </row>
    <row r="47">
      <c r="A47" s="15" t="inlineStr"/>
      <c r="B47" s="9" t="inlineStr">
        <is>
          <t>Frei / Eltern-Betreuung</t>
        </is>
      </c>
    </row>
    <row r="48">
      <c r="A48" s="16" t="inlineStr"/>
      <c r="B48" s="9" t="inlineStr">
        <is>
          <t>Niklas: betreut</t>
        </is>
      </c>
    </row>
    <row r="49">
      <c r="A49" s="17" t="inlineStr"/>
      <c r="B49" s="9" t="inlineStr">
        <is>
          <t>Niklas: LÜCKE</t>
        </is>
      </c>
    </row>
  </sheetData>
  <mergeCells count="19">
    <mergeCell ref="B49:E49"/>
    <mergeCell ref="N5:P5"/>
    <mergeCell ref="A4:P4"/>
    <mergeCell ref="B45:E45"/>
    <mergeCell ref="B41:E41"/>
    <mergeCell ref="B47:E47"/>
    <mergeCell ref="B46:E46"/>
    <mergeCell ref="B5:D5"/>
    <mergeCell ref="B43:E43"/>
    <mergeCell ref="A1:P1"/>
    <mergeCell ref="H5:J5"/>
    <mergeCell ref="B48:E48"/>
    <mergeCell ref="B42:E42"/>
    <mergeCell ref="A29:H29"/>
    <mergeCell ref="E5:G5"/>
    <mergeCell ref="K5:M5"/>
    <mergeCell ref="A38:H38"/>
    <mergeCell ref="B44:E44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V6 – Tagesmutter Mo-Fr + Beide Vollzeit 40h</t>
        </is>
      </c>
    </row>
    <row r="2">
      <c r="A2" s="9" t="inlineStr">
        <is>
          <t>TM 07:30-13:00 (5×5,5=27,5h, Bracket 25-29h).</t>
        </is>
      </c>
    </row>
    <row r="4">
      <c r="A4" s="19" t="inlineStr">
        <is>
          <t>Wochenplan (07:30–18:00)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TM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TM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TM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TM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TM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TM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TM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TM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TM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TM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TM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TM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TM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TM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TM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TM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TM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TM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TM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TM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TM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TM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TM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TM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TM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TM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TM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TM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TM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TM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TM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TM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TM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TM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TM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TM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TM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TM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TM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TM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TM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TM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TM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TM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TM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TM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TM</t>
        </is>
      </c>
      <c r="H16" s="24" t="inlineStr">
        <is>
          <t>→Home</t>
        </is>
      </c>
      <c r="I16" s="30" t="inlineStr">
        <is>
          <t>Pause</t>
        </is>
      </c>
      <c r="J16" s="26" t="inlineStr">
        <is>
          <t>TM</t>
        </is>
      </c>
      <c r="K16" s="30" t="inlineStr">
        <is>
          <t>Pause</t>
        </is>
      </c>
      <c r="L16" s="29" t="inlineStr">
        <is>
          <t>Pause</t>
        </is>
      </c>
      <c r="M16" s="26" t="inlineStr">
        <is>
          <t>TM</t>
        </is>
      </c>
      <c r="N16" s="30" t="inlineStr">
        <is>
          <t>Pause</t>
        </is>
      </c>
      <c r="O16" s="29" t="inlineStr">
        <is>
          <t>Pause</t>
        </is>
      </c>
      <c r="P16" s="26" t="inlineStr">
        <is>
          <t>TM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TM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TM</t>
        </is>
      </c>
      <c r="H17" s="30" t="inlineStr">
        <is>
          <t>Pause</t>
        </is>
      </c>
      <c r="I17" s="24" t="inlineStr">
        <is>
          <t>→Büro</t>
        </is>
      </c>
      <c r="J17" s="26" t="inlineStr">
        <is>
          <t>TM</t>
        </is>
      </c>
      <c r="K17" s="28" t="inlineStr">
        <is>
          <t>HO</t>
        </is>
      </c>
      <c r="L17" s="27" t="inlineStr">
        <is>
          <t>Büro</t>
        </is>
      </c>
      <c r="M17" s="26" t="inlineStr">
        <is>
          <t>TM</t>
        </is>
      </c>
      <c r="N17" s="28" t="inlineStr">
        <is>
          <t>HO</t>
        </is>
      </c>
      <c r="O17" s="27" t="inlineStr">
        <is>
          <t>Büro</t>
        </is>
      </c>
      <c r="P17" s="26" t="inlineStr">
        <is>
          <t>TM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8" t="inlineStr">
        <is>
          <t>HO</t>
        </is>
      </c>
      <c r="L18" s="27" t="inlineStr">
        <is>
          <t>Büro</t>
        </is>
      </c>
      <c r="M18" s="26" t="inlineStr">
        <is>
          <t>Paul HO</t>
        </is>
      </c>
      <c r="N18" s="28" t="inlineStr">
        <is>
          <t>HO</t>
        </is>
      </c>
      <c r="O18" s="27" t="inlineStr">
        <is>
          <t>Büro</t>
        </is>
      </c>
      <c r="P18" s="26" t="inlineStr">
        <is>
          <t>Paul HO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8" t="inlineStr">
        <is>
          <t>HO</t>
        </is>
      </c>
      <c r="L19" s="27" t="inlineStr">
        <is>
          <t>Büro</t>
        </is>
      </c>
      <c r="M19" s="26" t="inlineStr">
        <is>
          <t>Paul HO</t>
        </is>
      </c>
      <c r="N19" s="28" t="inlineStr">
        <is>
          <t>HO</t>
        </is>
      </c>
      <c r="O19" s="27" t="inlineStr">
        <is>
          <t>Büro</t>
        </is>
      </c>
      <c r="P19" s="26" t="inlineStr">
        <is>
          <t>Paul HO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8" t="inlineStr">
        <is>
          <t>HO</t>
        </is>
      </c>
      <c r="L20" s="27" t="inlineStr">
        <is>
          <t>Büro</t>
        </is>
      </c>
      <c r="M20" s="26" t="inlineStr">
        <is>
          <t>Paul HO</t>
        </is>
      </c>
      <c r="N20" s="28" t="inlineStr">
        <is>
          <t>HO</t>
        </is>
      </c>
      <c r="O20" s="27" t="inlineStr">
        <is>
          <t>Büro</t>
        </is>
      </c>
      <c r="P20" s="26" t="inlineStr">
        <is>
          <t>Paul HO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8" t="inlineStr">
        <is>
          <t>HO</t>
        </is>
      </c>
      <c r="L21" s="27" t="inlineStr">
        <is>
          <t>Büro</t>
        </is>
      </c>
      <c r="M21" s="26" t="inlineStr">
        <is>
          <t>Paul HO</t>
        </is>
      </c>
      <c r="N21" s="28" t="inlineStr">
        <is>
          <t>HO</t>
        </is>
      </c>
      <c r="O21" s="27" t="inlineStr">
        <is>
          <t>Büro</t>
        </is>
      </c>
      <c r="P21" s="26" t="inlineStr">
        <is>
          <t>Paul HO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8" t="inlineStr">
        <is>
          <t>HO</t>
        </is>
      </c>
      <c r="L22" s="27" t="inlineStr">
        <is>
          <t>Büro</t>
        </is>
      </c>
      <c r="M22" s="26" t="inlineStr">
        <is>
          <t>Paul HO</t>
        </is>
      </c>
      <c r="N22" s="28" t="inlineStr">
        <is>
          <t>HO</t>
        </is>
      </c>
      <c r="O22" s="27" t="inlineStr">
        <is>
          <t>Büro</t>
        </is>
      </c>
      <c r="P22" s="26" t="inlineStr">
        <is>
          <t>Paul HO</t>
        </is>
      </c>
    </row>
    <row r="23">
      <c r="A23" s="23" t="inlineStr">
        <is>
          <t>15:30</t>
        </is>
      </c>
      <c r="B23" s="27" t="inlineStr">
        <is>
          <t>Büro</t>
        </is>
      </c>
      <c r="C23" s="28" t="inlineStr">
        <is>
          <t>HO</t>
        </is>
      </c>
      <c r="D23" s="26" t="inlineStr">
        <is>
          <t>Dom HO</t>
        </is>
      </c>
      <c r="E23" s="27" t="inlineStr">
        <is>
          <t>Büro</t>
        </is>
      </c>
      <c r="F23" s="28" t="inlineStr">
        <is>
          <t>HO</t>
        </is>
      </c>
      <c r="G23" s="26" t="inlineStr">
        <is>
          <t>Dom HO</t>
        </is>
      </c>
      <c r="H23" s="28" t="inlineStr">
        <is>
          <t>HO</t>
        </is>
      </c>
      <c r="I23" s="27" t="inlineStr">
        <is>
          <t>Büro</t>
        </is>
      </c>
      <c r="J23" s="26" t="inlineStr">
        <is>
          <t>Paul HO</t>
        </is>
      </c>
      <c r="K23" s="28" t="inlineStr">
        <is>
          <t>HO</t>
        </is>
      </c>
      <c r="L23" s="27" t="inlineStr">
        <is>
          <t>Büro</t>
        </is>
      </c>
      <c r="M23" s="26" t="inlineStr">
        <is>
          <t>Paul HO</t>
        </is>
      </c>
      <c r="N23" s="28" t="inlineStr">
        <is>
          <t>HO</t>
        </is>
      </c>
      <c r="O23" s="27" t="inlineStr">
        <is>
          <t>Büro</t>
        </is>
      </c>
      <c r="P23" s="26" t="inlineStr">
        <is>
          <t>Paul HO</t>
        </is>
      </c>
    </row>
    <row r="24">
      <c r="A24" s="23" t="inlineStr">
        <is>
          <t>16:00</t>
        </is>
      </c>
      <c r="B24" s="27" t="inlineStr">
        <is>
          <t>Büro</t>
        </is>
      </c>
      <c r="C24" s="28" t="inlineStr">
        <is>
          <t>HO</t>
        </is>
      </c>
      <c r="D24" s="26" t="inlineStr">
        <is>
          <t>Dom HO</t>
        </is>
      </c>
      <c r="E24" s="27" t="inlineStr">
        <is>
          <t>Büro</t>
        </is>
      </c>
      <c r="F24" s="28" t="inlineStr">
        <is>
          <t>HO</t>
        </is>
      </c>
      <c r="G24" s="26" t="inlineStr">
        <is>
          <t>Dom HO</t>
        </is>
      </c>
      <c r="H24" s="28" t="inlineStr">
        <is>
          <t>HO</t>
        </is>
      </c>
      <c r="I24" s="27" t="inlineStr">
        <is>
          <t>Büro</t>
        </is>
      </c>
      <c r="J24" s="26" t="inlineStr">
        <is>
          <t>Paul HO</t>
        </is>
      </c>
      <c r="K24" s="28" t="inlineStr">
        <is>
          <t>HO</t>
        </is>
      </c>
      <c r="L24" s="27" t="inlineStr">
        <is>
          <t>Büro</t>
        </is>
      </c>
      <c r="M24" s="26" t="inlineStr">
        <is>
          <t>Paul HO</t>
        </is>
      </c>
      <c r="N24" s="28" t="inlineStr">
        <is>
          <t>HO</t>
        </is>
      </c>
      <c r="O24" s="27" t="inlineStr">
        <is>
          <t>Büro</t>
        </is>
      </c>
      <c r="P24" s="26" t="inlineStr">
        <is>
          <t>Paul HO</t>
        </is>
      </c>
    </row>
    <row r="25">
      <c r="A25" s="23" t="inlineStr">
        <is>
          <t>16:30</t>
        </is>
      </c>
      <c r="B25" s="24" t="inlineStr">
        <is>
          <t>→Home</t>
        </is>
      </c>
      <c r="C25" s="25" t="inlineStr">
        <is>
          <t>Frei</t>
        </is>
      </c>
      <c r="D25" s="26" t="inlineStr">
        <is>
          <t>Dom frei</t>
        </is>
      </c>
      <c r="E25" s="24" t="inlineStr">
        <is>
          <t>→Home</t>
        </is>
      </c>
      <c r="F25" s="25" t="inlineStr">
        <is>
          <t>Frei</t>
        </is>
      </c>
      <c r="G25" s="26" t="inlineStr">
        <is>
          <t>Dom frei</t>
        </is>
      </c>
      <c r="H25" s="28" t="inlineStr">
        <is>
          <t>HO</t>
        </is>
      </c>
      <c r="I25" s="27" t="inlineStr">
        <is>
          <t>Büro</t>
        </is>
      </c>
      <c r="J25" s="26" t="inlineStr">
        <is>
          <t>Paul HO</t>
        </is>
      </c>
      <c r="K25" s="25" t="inlineStr">
        <is>
          <t>Frei</t>
        </is>
      </c>
      <c r="L25" s="24" t="inlineStr">
        <is>
          <t>→Home</t>
        </is>
      </c>
      <c r="M25" s="26" t="inlineStr">
        <is>
          <t>Paul frei</t>
        </is>
      </c>
      <c r="N25" s="25" t="inlineStr">
        <is>
          <t>Frei</t>
        </is>
      </c>
      <c r="O25" s="24" t="inlineStr">
        <is>
          <t>→Home</t>
        </is>
      </c>
      <c r="P25" s="26" t="inlineStr">
        <is>
          <t>Paul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7">
      <c r="A27" s="23" t="inlineStr">
        <is>
          <t>17:30</t>
        </is>
      </c>
      <c r="B27" s="25" t="inlineStr">
        <is>
          <t>Frei</t>
        </is>
      </c>
      <c r="C27" s="25" t="inlineStr">
        <is>
          <t>Frei</t>
        </is>
      </c>
      <c r="D27" s="26" t="inlineStr">
        <is>
          <t>Beide frei</t>
        </is>
      </c>
      <c r="E27" s="25" t="inlineStr">
        <is>
          <t>Frei</t>
        </is>
      </c>
      <c r="F27" s="25" t="inlineStr">
        <is>
          <t>Frei</t>
        </is>
      </c>
      <c r="G27" s="26" t="inlineStr">
        <is>
          <t>Beide frei</t>
        </is>
      </c>
      <c r="H27" s="25" t="inlineStr">
        <is>
          <t>Frei</t>
        </is>
      </c>
      <c r="I27" s="25" t="inlineStr">
        <is>
          <t>Frei</t>
        </is>
      </c>
      <c r="J27" s="26" t="inlineStr">
        <is>
          <t>Beide frei</t>
        </is>
      </c>
      <c r="K27" s="25" t="inlineStr">
        <is>
          <t>Frei</t>
        </is>
      </c>
      <c r="L27" s="25" t="inlineStr">
        <is>
          <t>Frei</t>
        </is>
      </c>
      <c r="M27" s="26" t="inlineStr">
        <is>
          <t>Beide frei</t>
        </is>
      </c>
      <c r="N27" s="25" t="inlineStr">
        <is>
          <t>Frei</t>
        </is>
      </c>
      <c r="O27" s="25" t="inlineStr">
        <is>
          <t>Frei</t>
        </is>
      </c>
      <c r="P27" s="26" t="inlineStr">
        <is>
          <t>Beide frei</t>
        </is>
      </c>
    </row>
    <row r="29">
      <c r="A29" s="3" t="inlineStr">
        <is>
          <t>Einkommen &amp; Kosten</t>
        </is>
      </c>
    </row>
    <row r="30">
      <c r="A30" s="31" t="inlineStr"/>
      <c r="B30" s="31" t="inlineStr">
        <is>
          <t>Wochenstd.</t>
        </is>
      </c>
      <c r="C30" s="31" t="inlineStr">
        <is>
          <t>Vollzeit Brutto/J</t>
        </is>
      </c>
      <c r="D30" s="31" t="inlineStr">
        <is>
          <t>Anteil</t>
        </is>
      </c>
      <c r="E30" s="31" t="inlineStr">
        <is>
          <t>Brutto/Mon</t>
        </is>
      </c>
      <c r="F30" s="31" t="inlineStr">
        <is>
          <t>Brutto/Jahr</t>
        </is>
      </c>
      <c r="G30" s="31" t="inlineStr">
        <is>
          <t>Netto/Mon (≈)</t>
        </is>
      </c>
      <c r="H30" s="31" t="inlineStr">
        <is>
          <t>Netto/Jahr (≈)</t>
        </is>
      </c>
    </row>
    <row r="31">
      <c r="A31" s="32" t="inlineStr">
        <is>
          <t>Paul</t>
        </is>
      </c>
      <c r="B31" s="33" t="n">
        <v>40</v>
      </c>
      <c r="C31" s="34" t="n">
        <v>96000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2" t="inlineStr">
        <is>
          <t>Dominique</t>
        </is>
      </c>
      <c r="B32" s="33" t="n">
        <v>40</v>
      </c>
      <c r="C32" s="34" t="n">
        <v>84000</v>
      </c>
      <c r="D32" s="35">
        <f>B32/40</f>
        <v/>
      </c>
      <c r="E32" s="34">
        <f>C32*D32/12</f>
        <v/>
      </c>
      <c r="F32" s="34">
        <f>C32*D32</f>
        <v/>
      </c>
      <c r="G32" s="34">
        <f>IF(E32&gt;=8000,E32*0.6,IF(E32&gt;=7000,E32*0.61,IF(E32&gt;=6000,E32*0.62,IF(E32&gt;=5000,E32*0.64,IF(E32&gt;=4000,E32*0.66,IF(E32&gt;=3000,E32*0.68,E32*0.70))))))</f>
        <v/>
      </c>
      <c r="H32" s="34">
        <f>G32*12</f>
        <v/>
      </c>
    </row>
    <row r="33">
      <c r="A33" s="36" t="inlineStr">
        <is>
          <t>Haushalt gesamt</t>
        </is>
      </c>
      <c r="B33" s="37">
        <f>B31+B32</f>
        <v/>
      </c>
      <c r="C33" s="36" t="n"/>
      <c r="D33" s="36" t="n"/>
      <c r="E33" s="38">
        <f>E31+E32</f>
        <v/>
      </c>
      <c r="F33" s="38">
        <f>F31+F32</f>
        <v/>
      </c>
      <c r="G33" s="38">
        <f>G31+G32</f>
        <v/>
      </c>
      <c r="H33" s="38">
        <f>H31+H32</f>
        <v/>
      </c>
    </row>
    <row r="35">
      <c r="A35" s="7" t="inlineStr">
        <is>
          <t>Haushaltseinkommen lt. Satzung (Brutto -30%)</t>
        </is>
      </c>
      <c r="B35" s="39">
        <f>F33*0.7</f>
        <v/>
      </c>
    </row>
    <row r="36">
      <c r="A36" s="7" t="inlineStr">
        <is>
          <t>Tagesmutter-Kosten/Monat (Gruppe VII, 25-29h)</t>
        </is>
      </c>
      <c r="B36" s="41" t="n">
        <v>465</v>
      </c>
    </row>
    <row r="37">
      <c r="A37" s="7" t="inlineStr">
        <is>
          <t>Netto-Haushalt nach TM-Kosten / Monat</t>
        </is>
      </c>
      <c r="B37" s="40">
        <f>G33-B36</f>
        <v/>
      </c>
    </row>
    <row r="39">
      <c r="A39" s="9" t="inlineStr">
        <is>
          <t>Netto-Schätzung: Steuerklasse IV/IV, verheiratet, 1 Kind, 2026 (Quelle: brutto-netto-rechner.info Näherung).</t>
        </is>
      </c>
    </row>
    <row r="40">
      <c r="A40" s="9" t="inlineStr">
        <is>
          <t>→ TM: 5 Tage. 27.5h/Woche. Gruppe VII (Haushalt -30% = 125.999 €)</t>
        </is>
      </c>
    </row>
    <row r="43">
      <c r="A43" s="7" t="inlineStr">
        <is>
          <t>Legende:</t>
        </is>
      </c>
    </row>
    <row r="44">
      <c r="A44" s="8" t="inlineStr"/>
      <c r="B44" s="9" t="inlineStr">
        <is>
          <t>Büro</t>
        </is>
      </c>
    </row>
    <row r="45">
      <c r="A45" s="10" t="inlineStr"/>
      <c r="B45" s="9" t="inlineStr">
        <is>
          <t>Homeoffice (HO) – ca. 50% Eigen-Betreuung möglich</t>
        </is>
      </c>
    </row>
    <row r="46">
      <c r="A46" s="11" t="inlineStr"/>
      <c r="B46" s="9" t="inlineStr">
        <is>
          <t>Pendeln (→Büro / →Home)</t>
        </is>
      </c>
    </row>
    <row r="47">
      <c r="A47" s="12" t="inlineStr"/>
      <c r="B47" s="9" t="inlineStr">
        <is>
          <t>Pause @ Büro (unbezahlt)</t>
        </is>
      </c>
    </row>
    <row r="48">
      <c r="A48" s="13" t="inlineStr"/>
      <c r="B48" s="9" t="inlineStr">
        <is>
          <t>Pause @ Zuhause (unbezahlt)</t>
        </is>
      </c>
    </row>
    <row r="49">
      <c r="A49" s="14" t="inlineStr"/>
      <c r="B49" s="9" t="inlineStr">
        <is>
          <t>Tagesmutter</t>
        </is>
      </c>
    </row>
    <row r="50">
      <c r="A50" s="15" t="inlineStr"/>
      <c r="B50" s="9" t="inlineStr">
        <is>
          <t>Frei / Eltern-Betreuung</t>
        </is>
      </c>
    </row>
    <row r="51">
      <c r="A51" s="16" t="inlineStr"/>
      <c r="B51" s="9" t="inlineStr">
        <is>
          <t>Niklas: betreut</t>
        </is>
      </c>
    </row>
    <row r="52">
      <c r="A52" s="17" t="inlineStr"/>
      <c r="B52" s="9" t="inlineStr">
        <is>
          <t>Niklas: LÜCKE</t>
        </is>
      </c>
    </row>
  </sheetData>
  <mergeCells count="19"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  <mergeCell ref="A1:P1"/>
    <mergeCell ref="H5:J5"/>
    <mergeCell ref="B52:E52"/>
    <mergeCell ref="B48:E48"/>
    <mergeCell ref="A29:H29"/>
    <mergeCell ref="E5:G5"/>
    <mergeCell ref="K5:M5"/>
    <mergeCell ref="B44:E44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V7 – Tagesmutter Mo-Fr + Beide 35h</t>
        </is>
      </c>
    </row>
    <row r="2">
      <c r="A2" s="9" t="inlineStr">
        <is>
          <t>TM 5×5,5h, Eltern je 35h.</t>
        </is>
      </c>
    </row>
    <row r="4">
      <c r="A4" s="19" t="inlineStr">
        <is>
          <t>Wochenplan (07:30–18:00)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TM</t>
        </is>
      </c>
      <c r="E7" s="24" t="inlineStr">
        <is>
          <t>→Büro</t>
        </is>
      </c>
      <c r="F7" s="25" t="inlineStr">
        <is>
          <t>Frei</t>
        </is>
      </c>
      <c r="G7" s="26" t="inlineStr">
        <is>
          <t>TM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TM</t>
        </is>
      </c>
      <c r="K7" s="25" t="inlineStr">
        <is>
          <t>Frei</t>
        </is>
      </c>
      <c r="L7" s="24" t="inlineStr">
        <is>
          <t>→Büro</t>
        </is>
      </c>
      <c r="M7" s="26" t="inlineStr">
        <is>
          <t>TM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TM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TM</t>
        </is>
      </c>
      <c r="E8" s="27" t="inlineStr">
        <is>
          <t>Büro</t>
        </is>
      </c>
      <c r="F8" s="28" t="inlineStr">
        <is>
          <t>HO</t>
        </is>
      </c>
      <c r="G8" s="26" t="inlineStr">
        <is>
          <t>TM</t>
        </is>
      </c>
      <c r="H8" s="27" t="inlineStr">
        <is>
          <t>Büro</t>
        </is>
      </c>
      <c r="I8" s="28" t="inlineStr">
        <is>
          <t>HO</t>
        </is>
      </c>
      <c r="J8" s="26" t="inlineStr">
        <is>
          <t>TM</t>
        </is>
      </c>
      <c r="K8" s="28" t="inlineStr">
        <is>
          <t>HO</t>
        </is>
      </c>
      <c r="L8" s="27" t="inlineStr">
        <is>
          <t>Büro</t>
        </is>
      </c>
      <c r="M8" s="26" t="inlineStr">
        <is>
          <t>TM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TM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TM</t>
        </is>
      </c>
      <c r="E9" s="27" t="inlineStr">
        <is>
          <t>Büro</t>
        </is>
      </c>
      <c r="F9" s="28" t="inlineStr">
        <is>
          <t>HO</t>
        </is>
      </c>
      <c r="G9" s="26" t="inlineStr">
        <is>
          <t>TM</t>
        </is>
      </c>
      <c r="H9" s="27" t="inlineStr">
        <is>
          <t>Büro</t>
        </is>
      </c>
      <c r="I9" s="28" t="inlineStr">
        <is>
          <t>HO</t>
        </is>
      </c>
      <c r="J9" s="26" t="inlineStr">
        <is>
          <t>TM</t>
        </is>
      </c>
      <c r="K9" s="28" t="inlineStr">
        <is>
          <t>HO</t>
        </is>
      </c>
      <c r="L9" s="27" t="inlineStr">
        <is>
          <t>Büro</t>
        </is>
      </c>
      <c r="M9" s="26" t="inlineStr">
        <is>
          <t>TM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TM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TM</t>
        </is>
      </c>
      <c r="E10" s="27" t="inlineStr">
        <is>
          <t>Büro</t>
        </is>
      </c>
      <c r="F10" s="28" t="inlineStr">
        <is>
          <t>HO</t>
        </is>
      </c>
      <c r="G10" s="26" t="inlineStr">
        <is>
          <t>TM</t>
        </is>
      </c>
      <c r="H10" s="27" t="inlineStr">
        <is>
          <t>Büro</t>
        </is>
      </c>
      <c r="I10" s="28" t="inlineStr">
        <is>
          <t>HO</t>
        </is>
      </c>
      <c r="J10" s="26" t="inlineStr">
        <is>
          <t>TM</t>
        </is>
      </c>
      <c r="K10" s="28" t="inlineStr">
        <is>
          <t>HO</t>
        </is>
      </c>
      <c r="L10" s="27" t="inlineStr">
        <is>
          <t>Büro</t>
        </is>
      </c>
      <c r="M10" s="26" t="inlineStr">
        <is>
          <t>TM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TM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TM</t>
        </is>
      </c>
      <c r="E11" s="27" t="inlineStr">
        <is>
          <t>Büro</t>
        </is>
      </c>
      <c r="F11" s="28" t="inlineStr">
        <is>
          <t>HO</t>
        </is>
      </c>
      <c r="G11" s="26" t="inlineStr">
        <is>
          <t>TM</t>
        </is>
      </c>
      <c r="H11" s="27" t="inlineStr">
        <is>
          <t>Büro</t>
        </is>
      </c>
      <c r="I11" s="28" t="inlineStr">
        <is>
          <t>HO</t>
        </is>
      </c>
      <c r="J11" s="26" t="inlineStr">
        <is>
          <t>TM</t>
        </is>
      </c>
      <c r="K11" s="28" t="inlineStr">
        <is>
          <t>HO</t>
        </is>
      </c>
      <c r="L11" s="27" t="inlineStr">
        <is>
          <t>Büro</t>
        </is>
      </c>
      <c r="M11" s="26" t="inlineStr">
        <is>
          <t>TM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TM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TM</t>
        </is>
      </c>
      <c r="E12" s="27" t="inlineStr">
        <is>
          <t>Büro</t>
        </is>
      </c>
      <c r="F12" s="28" t="inlineStr">
        <is>
          <t>HO</t>
        </is>
      </c>
      <c r="G12" s="26" t="inlineStr">
        <is>
          <t>TM</t>
        </is>
      </c>
      <c r="H12" s="27" t="inlineStr">
        <is>
          <t>Büro</t>
        </is>
      </c>
      <c r="I12" s="28" t="inlineStr">
        <is>
          <t>HO</t>
        </is>
      </c>
      <c r="J12" s="26" t="inlineStr">
        <is>
          <t>TM</t>
        </is>
      </c>
      <c r="K12" s="28" t="inlineStr">
        <is>
          <t>HO</t>
        </is>
      </c>
      <c r="L12" s="27" t="inlineStr">
        <is>
          <t>Büro</t>
        </is>
      </c>
      <c r="M12" s="26" t="inlineStr">
        <is>
          <t>TM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TM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TM</t>
        </is>
      </c>
      <c r="E13" s="27" t="inlineStr">
        <is>
          <t>Büro</t>
        </is>
      </c>
      <c r="F13" s="28" t="inlineStr">
        <is>
          <t>HO</t>
        </is>
      </c>
      <c r="G13" s="26" t="inlineStr">
        <is>
          <t>TM</t>
        </is>
      </c>
      <c r="H13" s="27" t="inlineStr">
        <is>
          <t>Büro</t>
        </is>
      </c>
      <c r="I13" s="28" t="inlineStr">
        <is>
          <t>HO</t>
        </is>
      </c>
      <c r="J13" s="26" t="inlineStr">
        <is>
          <t>TM</t>
        </is>
      </c>
      <c r="K13" s="28" t="inlineStr">
        <is>
          <t>HO</t>
        </is>
      </c>
      <c r="L13" s="27" t="inlineStr">
        <is>
          <t>Büro</t>
        </is>
      </c>
      <c r="M13" s="26" t="inlineStr">
        <is>
          <t>TM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TM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TM</t>
        </is>
      </c>
      <c r="E14" s="27" t="inlineStr">
        <is>
          <t>Büro</t>
        </is>
      </c>
      <c r="F14" s="28" t="inlineStr">
        <is>
          <t>HO</t>
        </is>
      </c>
      <c r="G14" s="26" t="inlineStr">
        <is>
          <t>TM</t>
        </is>
      </c>
      <c r="H14" s="27" t="inlineStr">
        <is>
          <t>Büro</t>
        </is>
      </c>
      <c r="I14" s="28" t="inlineStr">
        <is>
          <t>HO</t>
        </is>
      </c>
      <c r="J14" s="26" t="inlineStr">
        <is>
          <t>TM</t>
        </is>
      </c>
      <c r="K14" s="28" t="inlineStr">
        <is>
          <t>HO</t>
        </is>
      </c>
      <c r="L14" s="27" t="inlineStr">
        <is>
          <t>Büro</t>
        </is>
      </c>
      <c r="M14" s="26" t="inlineStr">
        <is>
          <t>TM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TM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TM</t>
        </is>
      </c>
      <c r="E15" s="27" t="inlineStr">
        <is>
          <t>Büro</t>
        </is>
      </c>
      <c r="F15" s="28" t="inlineStr">
        <is>
          <t>HO</t>
        </is>
      </c>
      <c r="G15" s="26" t="inlineStr">
        <is>
          <t>TM</t>
        </is>
      </c>
      <c r="H15" s="27" t="inlineStr">
        <is>
          <t>Büro</t>
        </is>
      </c>
      <c r="I15" s="28" t="inlineStr">
        <is>
          <t>HO</t>
        </is>
      </c>
      <c r="J15" s="26" t="inlineStr">
        <is>
          <t>TM</t>
        </is>
      </c>
      <c r="K15" s="28" t="inlineStr">
        <is>
          <t>HO</t>
        </is>
      </c>
      <c r="L15" s="27" t="inlineStr">
        <is>
          <t>Büro</t>
        </is>
      </c>
      <c r="M15" s="26" t="inlineStr">
        <is>
          <t>TM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TM</t>
        </is>
      </c>
    </row>
    <row r="16">
      <c r="A16" s="23" t="inlineStr">
        <is>
          <t>12:00</t>
        </is>
      </c>
      <c r="B16" s="29" t="inlineStr">
        <is>
          <t>Pause</t>
        </is>
      </c>
      <c r="C16" s="30" t="inlineStr">
        <is>
          <t>Pause</t>
        </is>
      </c>
      <c r="D16" s="26" t="inlineStr">
        <is>
          <t>TM</t>
        </is>
      </c>
      <c r="E16" s="29" t="inlineStr">
        <is>
          <t>Pause</t>
        </is>
      </c>
      <c r="F16" s="30" t="inlineStr">
        <is>
          <t>Pause</t>
        </is>
      </c>
      <c r="G16" s="26" t="inlineStr">
        <is>
          <t>TM</t>
        </is>
      </c>
      <c r="H16" s="24" t="inlineStr">
        <is>
          <t>→Home</t>
        </is>
      </c>
      <c r="I16" s="30" t="inlineStr">
        <is>
          <t>Pause</t>
        </is>
      </c>
      <c r="J16" s="26" t="inlineStr">
        <is>
          <t>TM</t>
        </is>
      </c>
      <c r="K16" s="30" t="inlineStr">
        <is>
          <t>Pause</t>
        </is>
      </c>
      <c r="L16" s="29" t="inlineStr">
        <is>
          <t>Pause</t>
        </is>
      </c>
      <c r="M16" s="26" t="inlineStr">
        <is>
          <t>TM</t>
        </is>
      </c>
      <c r="N16" s="30" t="inlineStr">
        <is>
          <t>Pause</t>
        </is>
      </c>
      <c r="O16" s="29" t="inlineStr">
        <is>
          <t>Pause</t>
        </is>
      </c>
      <c r="P16" s="26" t="inlineStr">
        <is>
          <t>TM</t>
        </is>
      </c>
    </row>
    <row r="17">
      <c r="A17" s="23" t="inlineStr">
        <is>
          <t>12:30</t>
        </is>
      </c>
      <c r="B17" s="27" t="inlineStr">
        <is>
          <t>Büro</t>
        </is>
      </c>
      <c r="C17" s="28" t="inlineStr">
        <is>
          <t>HO</t>
        </is>
      </c>
      <c r="D17" s="26" t="inlineStr">
        <is>
          <t>TM</t>
        </is>
      </c>
      <c r="E17" s="27" t="inlineStr">
        <is>
          <t>Büro</t>
        </is>
      </c>
      <c r="F17" s="28" t="inlineStr">
        <is>
          <t>HO</t>
        </is>
      </c>
      <c r="G17" s="26" t="inlineStr">
        <is>
          <t>TM</t>
        </is>
      </c>
      <c r="H17" s="30" t="inlineStr">
        <is>
          <t>Pause</t>
        </is>
      </c>
      <c r="I17" s="24" t="inlineStr">
        <is>
          <t>→Büro</t>
        </is>
      </c>
      <c r="J17" s="26" t="inlineStr">
        <is>
          <t>TM</t>
        </is>
      </c>
      <c r="K17" s="28" t="inlineStr">
        <is>
          <t>HO</t>
        </is>
      </c>
      <c r="L17" s="27" t="inlineStr">
        <is>
          <t>Büro</t>
        </is>
      </c>
      <c r="M17" s="26" t="inlineStr">
        <is>
          <t>TM</t>
        </is>
      </c>
      <c r="N17" s="28" t="inlineStr">
        <is>
          <t>HO</t>
        </is>
      </c>
      <c r="O17" s="27" t="inlineStr">
        <is>
          <t>Büro</t>
        </is>
      </c>
      <c r="P17" s="26" t="inlineStr">
        <is>
          <t>TM</t>
        </is>
      </c>
    </row>
    <row r="18">
      <c r="A18" s="23" t="inlineStr">
        <is>
          <t>13:00</t>
        </is>
      </c>
      <c r="B18" s="27" t="inlineStr">
        <is>
          <t>Büro</t>
        </is>
      </c>
      <c r="C18" s="28" t="inlineStr">
        <is>
          <t>HO</t>
        </is>
      </c>
      <c r="D18" s="26" t="inlineStr">
        <is>
          <t>Dom HO</t>
        </is>
      </c>
      <c r="E18" s="27" t="inlineStr">
        <is>
          <t>Büro</t>
        </is>
      </c>
      <c r="F18" s="28" t="inlineStr">
        <is>
          <t>HO</t>
        </is>
      </c>
      <c r="G18" s="26" t="inlineStr">
        <is>
          <t>Dom HO</t>
        </is>
      </c>
      <c r="H18" s="28" t="inlineStr">
        <is>
          <t>HO</t>
        </is>
      </c>
      <c r="I18" s="27" t="inlineStr">
        <is>
          <t>Büro</t>
        </is>
      </c>
      <c r="J18" s="26" t="inlineStr">
        <is>
          <t>Paul HO</t>
        </is>
      </c>
      <c r="K18" s="28" t="inlineStr">
        <is>
          <t>HO</t>
        </is>
      </c>
      <c r="L18" s="27" t="inlineStr">
        <is>
          <t>Büro</t>
        </is>
      </c>
      <c r="M18" s="26" t="inlineStr">
        <is>
          <t>Paul HO</t>
        </is>
      </c>
      <c r="N18" s="28" t="inlineStr">
        <is>
          <t>HO</t>
        </is>
      </c>
      <c r="O18" s="27" t="inlineStr">
        <is>
          <t>Büro</t>
        </is>
      </c>
      <c r="P18" s="26" t="inlineStr">
        <is>
          <t>Paul HO</t>
        </is>
      </c>
    </row>
    <row r="19">
      <c r="A19" s="23" t="inlineStr">
        <is>
          <t>13:30</t>
        </is>
      </c>
      <c r="B19" s="27" t="inlineStr">
        <is>
          <t>Büro</t>
        </is>
      </c>
      <c r="C19" s="28" t="inlineStr">
        <is>
          <t>HO</t>
        </is>
      </c>
      <c r="D19" s="26" t="inlineStr">
        <is>
          <t>Dom HO</t>
        </is>
      </c>
      <c r="E19" s="27" t="inlineStr">
        <is>
          <t>Büro</t>
        </is>
      </c>
      <c r="F19" s="28" t="inlineStr">
        <is>
          <t>HO</t>
        </is>
      </c>
      <c r="G19" s="26" t="inlineStr">
        <is>
          <t>Dom HO</t>
        </is>
      </c>
      <c r="H19" s="28" t="inlineStr">
        <is>
          <t>HO</t>
        </is>
      </c>
      <c r="I19" s="27" t="inlineStr">
        <is>
          <t>Büro</t>
        </is>
      </c>
      <c r="J19" s="26" t="inlineStr">
        <is>
          <t>Paul HO</t>
        </is>
      </c>
      <c r="K19" s="28" t="inlineStr">
        <is>
          <t>HO</t>
        </is>
      </c>
      <c r="L19" s="27" t="inlineStr">
        <is>
          <t>Büro</t>
        </is>
      </c>
      <c r="M19" s="26" t="inlineStr">
        <is>
          <t>Paul HO</t>
        </is>
      </c>
      <c r="N19" s="28" t="inlineStr">
        <is>
          <t>HO</t>
        </is>
      </c>
      <c r="O19" s="27" t="inlineStr">
        <is>
          <t>Büro</t>
        </is>
      </c>
      <c r="P19" s="26" t="inlineStr">
        <is>
          <t>Paul HO</t>
        </is>
      </c>
    </row>
    <row r="20">
      <c r="A20" s="23" t="inlineStr">
        <is>
          <t>14:00</t>
        </is>
      </c>
      <c r="B20" s="27" t="inlineStr">
        <is>
          <t>Büro</t>
        </is>
      </c>
      <c r="C20" s="28" t="inlineStr">
        <is>
          <t>HO</t>
        </is>
      </c>
      <c r="D20" s="26" t="inlineStr">
        <is>
          <t>Dom HO</t>
        </is>
      </c>
      <c r="E20" s="27" t="inlineStr">
        <is>
          <t>Büro</t>
        </is>
      </c>
      <c r="F20" s="28" t="inlineStr">
        <is>
          <t>HO</t>
        </is>
      </c>
      <c r="G20" s="26" t="inlineStr">
        <is>
          <t>Dom HO</t>
        </is>
      </c>
      <c r="H20" s="28" t="inlineStr">
        <is>
          <t>HO</t>
        </is>
      </c>
      <c r="I20" s="27" t="inlineStr">
        <is>
          <t>Büro</t>
        </is>
      </c>
      <c r="J20" s="26" t="inlineStr">
        <is>
          <t>Paul HO</t>
        </is>
      </c>
      <c r="K20" s="28" t="inlineStr">
        <is>
          <t>HO</t>
        </is>
      </c>
      <c r="L20" s="27" t="inlineStr">
        <is>
          <t>Büro</t>
        </is>
      </c>
      <c r="M20" s="26" t="inlineStr">
        <is>
          <t>Paul HO</t>
        </is>
      </c>
      <c r="N20" s="28" t="inlineStr">
        <is>
          <t>HO</t>
        </is>
      </c>
      <c r="O20" s="27" t="inlineStr">
        <is>
          <t>Büro</t>
        </is>
      </c>
      <c r="P20" s="26" t="inlineStr">
        <is>
          <t>Paul HO</t>
        </is>
      </c>
    </row>
    <row r="21">
      <c r="A21" s="23" t="inlineStr">
        <is>
          <t>14:30</t>
        </is>
      </c>
      <c r="B21" s="27" t="inlineStr">
        <is>
          <t>Büro</t>
        </is>
      </c>
      <c r="C21" s="28" t="inlineStr">
        <is>
          <t>HO</t>
        </is>
      </c>
      <c r="D21" s="26" t="inlineStr">
        <is>
          <t>Dom HO</t>
        </is>
      </c>
      <c r="E21" s="27" t="inlineStr">
        <is>
          <t>Büro</t>
        </is>
      </c>
      <c r="F21" s="28" t="inlineStr">
        <is>
          <t>HO</t>
        </is>
      </c>
      <c r="G21" s="26" t="inlineStr">
        <is>
          <t>Dom HO</t>
        </is>
      </c>
      <c r="H21" s="28" t="inlineStr">
        <is>
          <t>HO</t>
        </is>
      </c>
      <c r="I21" s="27" t="inlineStr">
        <is>
          <t>Büro</t>
        </is>
      </c>
      <c r="J21" s="26" t="inlineStr">
        <is>
          <t>Paul HO</t>
        </is>
      </c>
      <c r="K21" s="28" t="inlineStr">
        <is>
          <t>HO</t>
        </is>
      </c>
      <c r="L21" s="27" t="inlineStr">
        <is>
          <t>Büro</t>
        </is>
      </c>
      <c r="M21" s="26" t="inlineStr">
        <is>
          <t>Paul HO</t>
        </is>
      </c>
      <c r="N21" s="28" t="inlineStr">
        <is>
          <t>HO</t>
        </is>
      </c>
      <c r="O21" s="27" t="inlineStr">
        <is>
          <t>Büro</t>
        </is>
      </c>
      <c r="P21" s="26" t="inlineStr">
        <is>
          <t>Paul HO</t>
        </is>
      </c>
    </row>
    <row r="22">
      <c r="A22" s="23" t="inlineStr">
        <is>
          <t>15:00</t>
        </is>
      </c>
      <c r="B22" s="27" t="inlineStr">
        <is>
          <t>Büro</t>
        </is>
      </c>
      <c r="C22" s="28" t="inlineStr">
        <is>
          <t>HO</t>
        </is>
      </c>
      <c r="D22" s="26" t="inlineStr">
        <is>
          <t>Dom HO</t>
        </is>
      </c>
      <c r="E22" s="27" t="inlineStr">
        <is>
          <t>Büro</t>
        </is>
      </c>
      <c r="F22" s="28" t="inlineStr">
        <is>
          <t>HO</t>
        </is>
      </c>
      <c r="G22" s="26" t="inlineStr">
        <is>
          <t>Dom HO</t>
        </is>
      </c>
      <c r="H22" s="28" t="inlineStr">
        <is>
          <t>HO</t>
        </is>
      </c>
      <c r="I22" s="27" t="inlineStr">
        <is>
          <t>Büro</t>
        </is>
      </c>
      <c r="J22" s="26" t="inlineStr">
        <is>
          <t>Paul HO</t>
        </is>
      </c>
      <c r="K22" s="28" t="inlineStr">
        <is>
          <t>HO</t>
        </is>
      </c>
      <c r="L22" s="27" t="inlineStr">
        <is>
          <t>Büro</t>
        </is>
      </c>
      <c r="M22" s="26" t="inlineStr">
        <is>
          <t>Paul HO</t>
        </is>
      </c>
      <c r="N22" s="28" t="inlineStr">
        <is>
          <t>HO</t>
        </is>
      </c>
      <c r="O22" s="27" t="inlineStr">
        <is>
          <t>Büro</t>
        </is>
      </c>
      <c r="P22" s="26" t="inlineStr">
        <is>
          <t>Paul HO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5" t="inlineStr">
        <is>
          <t>Frei</t>
        </is>
      </c>
      <c r="D23" s="26" t="inlineStr">
        <is>
          <t>Dom frei</t>
        </is>
      </c>
      <c r="E23" s="24" t="inlineStr">
        <is>
          <t>→Home</t>
        </is>
      </c>
      <c r="F23" s="25" t="inlineStr">
        <is>
          <t>Frei</t>
        </is>
      </c>
      <c r="G23" s="26" t="inlineStr">
        <is>
          <t>Dom frei</t>
        </is>
      </c>
      <c r="H23" s="28" t="inlineStr">
        <is>
          <t>HO</t>
        </is>
      </c>
      <c r="I23" s="27" t="inlineStr">
        <is>
          <t>Büro</t>
        </is>
      </c>
      <c r="J23" s="26" t="inlineStr">
        <is>
          <t>Paul HO</t>
        </is>
      </c>
      <c r="K23" s="25" t="inlineStr">
        <is>
          <t>Frei</t>
        </is>
      </c>
      <c r="L23" s="24" t="inlineStr">
        <is>
          <t>→Home</t>
        </is>
      </c>
      <c r="M23" s="26" t="inlineStr">
        <is>
          <t>Paul frei</t>
        </is>
      </c>
      <c r="N23" s="25" t="inlineStr">
        <is>
          <t>Frei</t>
        </is>
      </c>
      <c r="O23" s="24" t="inlineStr">
        <is>
          <t>→Home</t>
        </is>
      </c>
      <c r="P23" s="26" t="inlineStr">
        <is>
          <t>Paul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5" t="inlineStr">
        <is>
          <t>Frei</t>
        </is>
      </c>
      <c r="D24" s="26" t="inlineStr">
        <is>
          <t>Beide frei</t>
        </is>
      </c>
      <c r="E24" s="25" t="inlineStr">
        <is>
          <t>Frei</t>
        </is>
      </c>
      <c r="F24" s="25" t="inlineStr">
        <is>
          <t>Frei</t>
        </is>
      </c>
      <c r="G24" s="26" t="inlineStr">
        <is>
          <t>Beide frei</t>
        </is>
      </c>
      <c r="H24" s="25" t="inlineStr">
        <is>
          <t>Frei</t>
        </is>
      </c>
      <c r="I24" s="25" t="inlineStr">
        <is>
          <t>Frei</t>
        </is>
      </c>
      <c r="J24" s="26" t="inlineStr">
        <is>
          <t>Beide frei</t>
        </is>
      </c>
      <c r="K24" s="25" t="inlineStr">
        <is>
          <t>Frei</t>
        </is>
      </c>
      <c r="L24" s="25" t="inlineStr">
        <is>
          <t>Frei</t>
        </is>
      </c>
      <c r="M24" s="26" t="inlineStr">
        <is>
          <t>Beide frei</t>
        </is>
      </c>
      <c r="N24" s="25" t="inlineStr">
        <is>
          <t>Frei</t>
        </is>
      </c>
      <c r="O24" s="25" t="inlineStr">
        <is>
          <t>Frei</t>
        </is>
      </c>
      <c r="P24" s="26" t="inlineStr">
        <is>
          <t>Beide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5" t="inlineStr">
        <is>
          <t>Frei</t>
        </is>
      </c>
      <c r="J25" s="26" t="inlineStr">
        <is>
          <t>Beide frei</t>
        </is>
      </c>
      <c r="K25" s="25" t="inlineStr">
        <is>
          <t>Frei</t>
        </is>
      </c>
      <c r="L25" s="25" t="inlineStr">
        <is>
          <t>Frei</t>
        </is>
      </c>
      <c r="M25" s="26" t="inlineStr">
        <is>
          <t>Beide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7">
      <c r="A27" s="23" t="inlineStr">
        <is>
          <t>17:30</t>
        </is>
      </c>
      <c r="B27" s="25" t="inlineStr">
        <is>
          <t>Frei</t>
        </is>
      </c>
      <c r="C27" s="25" t="inlineStr">
        <is>
          <t>Frei</t>
        </is>
      </c>
      <c r="D27" s="26" t="inlineStr">
        <is>
          <t>Beide frei</t>
        </is>
      </c>
      <c r="E27" s="25" t="inlineStr">
        <is>
          <t>Frei</t>
        </is>
      </c>
      <c r="F27" s="25" t="inlineStr">
        <is>
          <t>Frei</t>
        </is>
      </c>
      <c r="G27" s="26" t="inlineStr">
        <is>
          <t>Beide frei</t>
        </is>
      </c>
      <c r="H27" s="25" t="inlineStr">
        <is>
          <t>Frei</t>
        </is>
      </c>
      <c r="I27" s="25" t="inlineStr">
        <is>
          <t>Frei</t>
        </is>
      </c>
      <c r="J27" s="26" t="inlineStr">
        <is>
          <t>Beide frei</t>
        </is>
      </c>
      <c r="K27" s="25" t="inlineStr">
        <is>
          <t>Frei</t>
        </is>
      </c>
      <c r="L27" s="25" t="inlineStr">
        <is>
          <t>Frei</t>
        </is>
      </c>
      <c r="M27" s="26" t="inlineStr">
        <is>
          <t>Beide frei</t>
        </is>
      </c>
      <c r="N27" s="25" t="inlineStr">
        <is>
          <t>Frei</t>
        </is>
      </c>
      <c r="O27" s="25" t="inlineStr">
        <is>
          <t>Frei</t>
        </is>
      </c>
      <c r="P27" s="26" t="inlineStr">
        <is>
          <t>Beide frei</t>
        </is>
      </c>
    </row>
    <row r="29">
      <c r="A29" s="3" t="inlineStr">
        <is>
          <t>Einkommen &amp; Kosten</t>
        </is>
      </c>
    </row>
    <row r="30">
      <c r="A30" s="31" t="inlineStr"/>
      <c r="B30" s="31" t="inlineStr">
        <is>
          <t>Wochenstd.</t>
        </is>
      </c>
      <c r="C30" s="31" t="inlineStr">
        <is>
          <t>Vollzeit Brutto/J</t>
        </is>
      </c>
      <c r="D30" s="31" t="inlineStr">
        <is>
          <t>Anteil</t>
        </is>
      </c>
      <c r="E30" s="31" t="inlineStr">
        <is>
          <t>Brutto/Mon</t>
        </is>
      </c>
      <c r="F30" s="31" t="inlineStr">
        <is>
          <t>Brutto/Jahr</t>
        </is>
      </c>
      <c r="G30" s="31" t="inlineStr">
        <is>
          <t>Netto/Mon (≈)</t>
        </is>
      </c>
      <c r="H30" s="31" t="inlineStr">
        <is>
          <t>Netto/Jahr (≈)</t>
        </is>
      </c>
    </row>
    <row r="31">
      <c r="A31" s="32" t="inlineStr">
        <is>
          <t>Paul</t>
        </is>
      </c>
      <c r="B31" s="33" t="n">
        <v>35</v>
      </c>
      <c r="C31" s="34" t="n">
        <v>96000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2" t="inlineStr">
        <is>
          <t>Dominique</t>
        </is>
      </c>
      <c r="B32" s="33" t="n">
        <v>35</v>
      </c>
      <c r="C32" s="34" t="n">
        <v>84000</v>
      </c>
      <c r="D32" s="35">
        <f>B32/40</f>
        <v/>
      </c>
      <c r="E32" s="34">
        <f>C32*D32/12</f>
        <v/>
      </c>
      <c r="F32" s="34">
        <f>C32*D32</f>
        <v/>
      </c>
      <c r="G32" s="34">
        <f>IF(E32&gt;=8000,E32*0.6,IF(E32&gt;=7000,E32*0.61,IF(E32&gt;=6000,E32*0.62,IF(E32&gt;=5000,E32*0.64,IF(E32&gt;=4000,E32*0.66,IF(E32&gt;=3000,E32*0.68,E32*0.70))))))</f>
        <v/>
      </c>
      <c r="H32" s="34">
        <f>G32*12</f>
        <v/>
      </c>
    </row>
    <row r="33">
      <c r="A33" s="36" t="inlineStr">
        <is>
          <t>Haushalt gesamt</t>
        </is>
      </c>
      <c r="B33" s="37">
        <f>B31+B32</f>
        <v/>
      </c>
      <c r="C33" s="36" t="n"/>
      <c r="D33" s="36" t="n"/>
      <c r="E33" s="38">
        <f>E31+E32</f>
        <v/>
      </c>
      <c r="F33" s="38">
        <f>F31+F32</f>
        <v/>
      </c>
      <c r="G33" s="38">
        <f>G31+G32</f>
        <v/>
      </c>
      <c r="H33" s="38">
        <f>H31+H32</f>
        <v/>
      </c>
    </row>
    <row r="35">
      <c r="A35" s="7" t="inlineStr">
        <is>
          <t>Haushaltseinkommen lt. Satzung (Brutto -30%)</t>
        </is>
      </c>
      <c r="B35" s="39">
        <f>F33*0.7</f>
        <v/>
      </c>
    </row>
    <row r="36">
      <c r="A36" s="7" t="inlineStr">
        <is>
          <t>Tagesmutter-Kosten/Monat (Gruppe VI, 25-29h)</t>
        </is>
      </c>
      <c r="B36" s="41" t="n">
        <v>388</v>
      </c>
    </row>
    <row r="37">
      <c r="A37" s="7" t="inlineStr">
        <is>
          <t>Netto-Haushalt nach TM-Kosten / Monat</t>
        </is>
      </c>
      <c r="B37" s="40">
        <f>G33-B36</f>
        <v/>
      </c>
    </row>
    <row r="39">
      <c r="A39" s="9" t="inlineStr">
        <is>
          <t>Netto-Schätzung: Steuerklasse IV/IV, verheiratet, 1 Kind, 2026 (Quelle: brutto-netto-rechner.info Näherung).</t>
        </is>
      </c>
    </row>
    <row r="40">
      <c r="A40" s="9" t="inlineStr">
        <is>
          <t>→ TM: 5 Tage. 27.5h/Woche. Gruppe VI (Haushalt -30% = 110.250 €)</t>
        </is>
      </c>
    </row>
    <row r="43">
      <c r="A43" s="7" t="inlineStr">
        <is>
          <t>Legende:</t>
        </is>
      </c>
    </row>
    <row r="44">
      <c r="A44" s="8" t="inlineStr"/>
      <c r="B44" s="9" t="inlineStr">
        <is>
          <t>Büro</t>
        </is>
      </c>
    </row>
    <row r="45">
      <c r="A45" s="10" t="inlineStr"/>
      <c r="B45" s="9" t="inlineStr">
        <is>
          <t>Homeoffice (HO) – ca. 50% Eigen-Betreuung möglich</t>
        </is>
      </c>
    </row>
    <row r="46">
      <c r="A46" s="11" t="inlineStr"/>
      <c r="B46" s="9" t="inlineStr">
        <is>
          <t>Pendeln (→Büro / →Home)</t>
        </is>
      </c>
    </row>
    <row r="47">
      <c r="A47" s="12" t="inlineStr"/>
      <c r="B47" s="9" t="inlineStr">
        <is>
          <t>Pause @ Büro (unbezahlt)</t>
        </is>
      </c>
    </row>
    <row r="48">
      <c r="A48" s="13" t="inlineStr"/>
      <c r="B48" s="9" t="inlineStr">
        <is>
          <t>Pause @ Zuhause (unbezahlt)</t>
        </is>
      </c>
    </row>
    <row r="49">
      <c r="A49" s="14" t="inlineStr"/>
      <c r="B49" s="9" t="inlineStr">
        <is>
          <t>Tagesmutter</t>
        </is>
      </c>
    </row>
    <row r="50">
      <c r="A50" s="15" t="inlineStr"/>
      <c r="B50" s="9" t="inlineStr">
        <is>
          <t>Frei / Eltern-Betreuung</t>
        </is>
      </c>
    </row>
    <row r="51">
      <c r="A51" s="16" t="inlineStr"/>
      <c r="B51" s="9" t="inlineStr">
        <is>
          <t>Niklas: betreut</t>
        </is>
      </c>
    </row>
    <row r="52">
      <c r="A52" s="17" t="inlineStr"/>
      <c r="B52" s="9" t="inlineStr">
        <is>
          <t>Niklas: LÜCKE</t>
        </is>
      </c>
    </row>
  </sheetData>
  <mergeCells count="19"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  <mergeCell ref="A1:P1"/>
    <mergeCell ref="H5:J5"/>
    <mergeCell ref="B52:E52"/>
    <mergeCell ref="B48:E48"/>
    <mergeCell ref="A29:H29"/>
    <mergeCell ref="E5:G5"/>
    <mergeCell ref="K5:M5"/>
    <mergeCell ref="B44:E44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V8 – Tagesmutter 3 Tage (Mo/Mi/Fr) + Paul 28h + Dominique 50% (20h)</t>
        </is>
      </c>
    </row>
    <row r="2">
      <c r="A2" s="9" t="inlineStr">
        <is>
          <t>Paul: Mo/Mi Office 7h, Do Hybrid 7h, Fr HO 7h, Di FREI. Dom: 5×4h.</t>
        </is>
      </c>
    </row>
    <row r="4">
      <c r="A4" s="19" t="inlineStr">
        <is>
          <t>Wochenplan (07:30–18:00)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5" t="inlineStr">
        <is>
          <t>Frei</t>
        </is>
      </c>
      <c r="D7" s="26" t="inlineStr">
        <is>
          <t>TM</t>
        </is>
      </c>
      <c r="E7" s="25" t="inlineStr">
        <is>
          <t>Frei</t>
        </is>
      </c>
      <c r="F7" s="25" t="inlineStr">
        <is>
          <t>Frei</t>
        </is>
      </c>
      <c r="G7" s="26" t="inlineStr">
        <is>
          <t>Beide frei</t>
        </is>
      </c>
      <c r="H7" s="24" t="inlineStr">
        <is>
          <t>→Büro</t>
        </is>
      </c>
      <c r="I7" s="24" t="inlineStr">
        <is>
          <t>→Büro</t>
        </is>
      </c>
      <c r="J7" s="26" t="inlineStr">
        <is>
          <t>TM</t>
        </is>
      </c>
      <c r="K7" s="24" t="inlineStr">
        <is>
          <t>→Büro</t>
        </is>
      </c>
      <c r="L7" s="25" t="inlineStr">
        <is>
          <t>Frei</t>
        </is>
      </c>
      <c r="M7" s="26" t="inlineStr">
        <is>
          <t>Dom frei</t>
        </is>
      </c>
      <c r="N7" s="25" t="inlineStr">
        <is>
          <t>Frei</t>
        </is>
      </c>
      <c r="O7" s="24" t="inlineStr">
        <is>
          <t>→Büro</t>
        </is>
      </c>
      <c r="P7" s="26" t="inlineStr">
        <is>
          <t>TM</t>
        </is>
      </c>
    </row>
    <row r="8">
      <c r="A8" s="23" t="inlineStr">
        <is>
          <t>08:00</t>
        </is>
      </c>
      <c r="B8" s="27" t="inlineStr">
        <is>
          <t>Büro</t>
        </is>
      </c>
      <c r="C8" s="28" t="inlineStr">
        <is>
          <t>HO</t>
        </is>
      </c>
      <c r="D8" s="26" t="inlineStr">
        <is>
          <t>TM</t>
        </is>
      </c>
      <c r="E8" s="25" t="inlineStr">
        <is>
          <t>Frei</t>
        </is>
      </c>
      <c r="F8" s="28" t="inlineStr">
        <is>
          <t>HO</t>
        </is>
      </c>
      <c r="G8" s="26" t="inlineStr">
        <is>
          <t>P:frei D:HO</t>
        </is>
      </c>
      <c r="H8" s="27" t="inlineStr">
        <is>
          <t>Büro</t>
        </is>
      </c>
      <c r="I8" s="27" t="inlineStr">
        <is>
          <t>Büro</t>
        </is>
      </c>
      <c r="J8" s="26" t="inlineStr">
        <is>
          <t>TM</t>
        </is>
      </c>
      <c r="K8" s="27" t="inlineStr">
        <is>
          <t>Büro</t>
        </is>
      </c>
      <c r="L8" s="28" t="inlineStr">
        <is>
          <t>HO</t>
        </is>
      </c>
      <c r="M8" s="26" t="inlineStr">
        <is>
          <t>Dom HO</t>
        </is>
      </c>
      <c r="N8" s="28" t="inlineStr">
        <is>
          <t>HO</t>
        </is>
      </c>
      <c r="O8" s="27" t="inlineStr">
        <is>
          <t>Büro</t>
        </is>
      </c>
      <c r="P8" s="26" t="inlineStr">
        <is>
          <t>TM</t>
        </is>
      </c>
    </row>
    <row r="9">
      <c r="A9" s="23" t="inlineStr">
        <is>
          <t>08:30</t>
        </is>
      </c>
      <c r="B9" s="27" t="inlineStr">
        <is>
          <t>Büro</t>
        </is>
      </c>
      <c r="C9" s="28" t="inlineStr">
        <is>
          <t>HO</t>
        </is>
      </c>
      <c r="D9" s="26" t="inlineStr">
        <is>
          <t>TM</t>
        </is>
      </c>
      <c r="E9" s="25" t="inlineStr">
        <is>
          <t>Frei</t>
        </is>
      </c>
      <c r="F9" s="28" t="inlineStr">
        <is>
          <t>HO</t>
        </is>
      </c>
      <c r="G9" s="26" t="inlineStr">
        <is>
          <t>P:frei D:HO</t>
        </is>
      </c>
      <c r="H9" s="27" t="inlineStr">
        <is>
          <t>Büro</t>
        </is>
      </c>
      <c r="I9" s="27" t="inlineStr">
        <is>
          <t>Büro</t>
        </is>
      </c>
      <c r="J9" s="26" t="inlineStr">
        <is>
          <t>TM</t>
        </is>
      </c>
      <c r="K9" s="27" t="inlineStr">
        <is>
          <t>Büro</t>
        </is>
      </c>
      <c r="L9" s="28" t="inlineStr">
        <is>
          <t>HO</t>
        </is>
      </c>
      <c r="M9" s="26" t="inlineStr">
        <is>
          <t>Dom HO</t>
        </is>
      </c>
      <c r="N9" s="28" t="inlineStr">
        <is>
          <t>HO</t>
        </is>
      </c>
      <c r="O9" s="27" t="inlineStr">
        <is>
          <t>Büro</t>
        </is>
      </c>
      <c r="P9" s="26" t="inlineStr">
        <is>
          <t>TM</t>
        </is>
      </c>
    </row>
    <row r="10">
      <c r="A10" s="23" t="inlineStr">
        <is>
          <t>09:00</t>
        </is>
      </c>
      <c r="B10" s="27" t="inlineStr">
        <is>
          <t>Büro</t>
        </is>
      </c>
      <c r="C10" s="28" t="inlineStr">
        <is>
          <t>HO</t>
        </is>
      </c>
      <c r="D10" s="26" t="inlineStr">
        <is>
          <t>TM</t>
        </is>
      </c>
      <c r="E10" s="25" t="inlineStr">
        <is>
          <t>Frei</t>
        </is>
      </c>
      <c r="F10" s="28" t="inlineStr">
        <is>
          <t>HO</t>
        </is>
      </c>
      <c r="G10" s="26" t="inlineStr">
        <is>
          <t>P:frei D:HO</t>
        </is>
      </c>
      <c r="H10" s="27" t="inlineStr">
        <is>
          <t>Büro</t>
        </is>
      </c>
      <c r="I10" s="27" t="inlineStr">
        <is>
          <t>Büro</t>
        </is>
      </c>
      <c r="J10" s="26" t="inlineStr">
        <is>
          <t>TM</t>
        </is>
      </c>
      <c r="K10" s="27" t="inlineStr">
        <is>
          <t>Büro</t>
        </is>
      </c>
      <c r="L10" s="28" t="inlineStr">
        <is>
          <t>HO</t>
        </is>
      </c>
      <c r="M10" s="26" t="inlineStr">
        <is>
          <t>Dom HO</t>
        </is>
      </c>
      <c r="N10" s="28" t="inlineStr">
        <is>
          <t>HO</t>
        </is>
      </c>
      <c r="O10" s="27" t="inlineStr">
        <is>
          <t>Büro</t>
        </is>
      </c>
      <c r="P10" s="26" t="inlineStr">
        <is>
          <t>TM</t>
        </is>
      </c>
    </row>
    <row r="11">
      <c r="A11" s="23" t="inlineStr">
        <is>
          <t>09:30</t>
        </is>
      </c>
      <c r="B11" s="27" t="inlineStr">
        <is>
          <t>Büro</t>
        </is>
      </c>
      <c r="C11" s="28" t="inlineStr">
        <is>
          <t>HO</t>
        </is>
      </c>
      <c r="D11" s="26" t="inlineStr">
        <is>
          <t>TM</t>
        </is>
      </c>
      <c r="E11" s="25" t="inlineStr">
        <is>
          <t>Frei</t>
        </is>
      </c>
      <c r="F11" s="28" t="inlineStr">
        <is>
          <t>HO</t>
        </is>
      </c>
      <c r="G11" s="26" t="inlineStr">
        <is>
          <t>P:frei D:HO</t>
        </is>
      </c>
      <c r="H11" s="27" t="inlineStr">
        <is>
          <t>Büro</t>
        </is>
      </c>
      <c r="I11" s="27" t="inlineStr">
        <is>
          <t>Büro</t>
        </is>
      </c>
      <c r="J11" s="26" t="inlineStr">
        <is>
          <t>TM</t>
        </is>
      </c>
      <c r="K11" s="27" t="inlineStr">
        <is>
          <t>Büro</t>
        </is>
      </c>
      <c r="L11" s="28" t="inlineStr">
        <is>
          <t>HO</t>
        </is>
      </c>
      <c r="M11" s="26" t="inlineStr">
        <is>
          <t>Dom HO</t>
        </is>
      </c>
      <c r="N11" s="28" t="inlineStr">
        <is>
          <t>HO</t>
        </is>
      </c>
      <c r="O11" s="27" t="inlineStr">
        <is>
          <t>Büro</t>
        </is>
      </c>
      <c r="P11" s="26" t="inlineStr">
        <is>
          <t>TM</t>
        </is>
      </c>
    </row>
    <row r="12">
      <c r="A12" s="23" t="inlineStr">
        <is>
          <t>10:00</t>
        </is>
      </c>
      <c r="B12" s="27" t="inlineStr">
        <is>
          <t>Büro</t>
        </is>
      </c>
      <c r="C12" s="28" t="inlineStr">
        <is>
          <t>HO</t>
        </is>
      </c>
      <c r="D12" s="26" t="inlineStr">
        <is>
          <t>TM</t>
        </is>
      </c>
      <c r="E12" s="25" t="inlineStr">
        <is>
          <t>Frei</t>
        </is>
      </c>
      <c r="F12" s="28" t="inlineStr">
        <is>
          <t>HO</t>
        </is>
      </c>
      <c r="G12" s="26" t="inlineStr">
        <is>
          <t>P:frei D:HO</t>
        </is>
      </c>
      <c r="H12" s="27" t="inlineStr">
        <is>
          <t>Büro</t>
        </is>
      </c>
      <c r="I12" s="27" t="inlineStr">
        <is>
          <t>Büro</t>
        </is>
      </c>
      <c r="J12" s="26" t="inlineStr">
        <is>
          <t>TM</t>
        </is>
      </c>
      <c r="K12" s="27" t="inlineStr">
        <is>
          <t>Büro</t>
        </is>
      </c>
      <c r="L12" s="28" t="inlineStr">
        <is>
          <t>HO</t>
        </is>
      </c>
      <c r="M12" s="26" t="inlineStr">
        <is>
          <t>Dom HO</t>
        </is>
      </c>
      <c r="N12" s="28" t="inlineStr">
        <is>
          <t>HO</t>
        </is>
      </c>
      <c r="O12" s="27" t="inlineStr">
        <is>
          <t>Büro</t>
        </is>
      </c>
      <c r="P12" s="26" t="inlineStr">
        <is>
          <t>TM</t>
        </is>
      </c>
    </row>
    <row r="13">
      <c r="A13" s="23" t="inlineStr">
        <is>
          <t>10:30</t>
        </is>
      </c>
      <c r="B13" s="27" t="inlineStr">
        <is>
          <t>Büro</t>
        </is>
      </c>
      <c r="C13" s="28" t="inlineStr">
        <is>
          <t>HO</t>
        </is>
      </c>
      <c r="D13" s="26" t="inlineStr">
        <is>
          <t>TM</t>
        </is>
      </c>
      <c r="E13" s="25" t="inlineStr">
        <is>
          <t>Frei</t>
        </is>
      </c>
      <c r="F13" s="28" t="inlineStr">
        <is>
          <t>HO</t>
        </is>
      </c>
      <c r="G13" s="26" t="inlineStr">
        <is>
          <t>P:frei D:HO</t>
        </is>
      </c>
      <c r="H13" s="27" t="inlineStr">
        <is>
          <t>Büro</t>
        </is>
      </c>
      <c r="I13" s="27" t="inlineStr">
        <is>
          <t>Büro</t>
        </is>
      </c>
      <c r="J13" s="26" t="inlineStr">
        <is>
          <t>TM</t>
        </is>
      </c>
      <c r="K13" s="27" t="inlineStr">
        <is>
          <t>Büro</t>
        </is>
      </c>
      <c r="L13" s="28" t="inlineStr">
        <is>
          <t>HO</t>
        </is>
      </c>
      <c r="M13" s="26" t="inlineStr">
        <is>
          <t>Dom HO</t>
        </is>
      </c>
      <c r="N13" s="28" t="inlineStr">
        <is>
          <t>HO</t>
        </is>
      </c>
      <c r="O13" s="27" t="inlineStr">
        <is>
          <t>Büro</t>
        </is>
      </c>
      <c r="P13" s="26" t="inlineStr">
        <is>
          <t>TM</t>
        </is>
      </c>
    </row>
    <row r="14">
      <c r="A14" s="23" t="inlineStr">
        <is>
          <t>11:00</t>
        </is>
      </c>
      <c r="B14" s="27" t="inlineStr">
        <is>
          <t>Büro</t>
        </is>
      </c>
      <c r="C14" s="28" t="inlineStr">
        <is>
          <t>HO</t>
        </is>
      </c>
      <c r="D14" s="26" t="inlineStr">
        <is>
          <t>TM</t>
        </is>
      </c>
      <c r="E14" s="25" t="inlineStr">
        <is>
          <t>Frei</t>
        </is>
      </c>
      <c r="F14" s="28" t="inlineStr">
        <is>
          <t>HO</t>
        </is>
      </c>
      <c r="G14" s="26" t="inlineStr">
        <is>
          <t>P:frei D:HO</t>
        </is>
      </c>
      <c r="H14" s="27" t="inlineStr">
        <is>
          <t>Büro</t>
        </is>
      </c>
      <c r="I14" s="27" t="inlineStr">
        <is>
          <t>Büro</t>
        </is>
      </c>
      <c r="J14" s="26" t="inlineStr">
        <is>
          <t>TM</t>
        </is>
      </c>
      <c r="K14" s="27" t="inlineStr">
        <is>
          <t>Büro</t>
        </is>
      </c>
      <c r="L14" s="28" t="inlineStr">
        <is>
          <t>HO</t>
        </is>
      </c>
      <c r="M14" s="26" t="inlineStr">
        <is>
          <t>Dom HO</t>
        </is>
      </c>
      <c r="N14" s="28" t="inlineStr">
        <is>
          <t>HO</t>
        </is>
      </c>
      <c r="O14" s="27" t="inlineStr">
        <is>
          <t>Büro</t>
        </is>
      </c>
      <c r="P14" s="26" t="inlineStr">
        <is>
          <t>TM</t>
        </is>
      </c>
    </row>
    <row r="15">
      <c r="A15" s="23" t="inlineStr">
        <is>
          <t>11:30</t>
        </is>
      </c>
      <c r="B15" s="27" t="inlineStr">
        <is>
          <t>Büro</t>
        </is>
      </c>
      <c r="C15" s="28" t="inlineStr">
        <is>
          <t>HO</t>
        </is>
      </c>
      <c r="D15" s="26" t="inlineStr">
        <is>
          <t>TM</t>
        </is>
      </c>
      <c r="E15" s="25" t="inlineStr">
        <is>
          <t>Frei</t>
        </is>
      </c>
      <c r="F15" s="28" t="inlineStr">
        <is>
          <t>HO</t>
        </is>
      </c>
      <c r="G15" s="26" t="inlineStr">
        <is>
          <t>P:frei D:HO</t>
        </is>
      </c>
      <c r="H15" s="27" t="inlineStr">
        <is>
          <t>Büro</t>
        </is>
      </c>
      <c r="I15" s="27" t="inlineStr">
        <is>
          <t>Büro</t>
        </is>
      </c>
      <c r="J15" s="26" t="inlineStr">
        <is>
          <t>TM</t>
        </is>
      </c>
      <c r="K15" s="27" t="inlineStr">
        <is>
          <t>Büro</t>
        </is>
      </c>
      <c r="L15" s="28" t="inlineStr">
        <is>
          <t>HO</t>
        </is>
      </c>
      <c r="M15" s="26" t="inlineStr">
        <is>
          <t>Dom HO</t>
        </is>
      </c>
      <c r="N15" s="28" t="inlineStr">
        <is>
          <t>HO</t>
        </is>
      </c>
      <c r="O15" s="27" t="inlineStr">
        <is>
          <t>Büro</t>
        </is>
      </c>
      <c r="P15" s="26" t="inlineStr">
        <is>
          <t>TM</t>
        </is>
      </c>
    </row>
    <row r="16">
      <c r="A16" s="23" t="inlineStr">
        <is>
          <t>12:00</t>
        </is>
      </c>
      <c r="B16" s="29" t="inlineStr">
        <is>
          <t>Pause</t>
        </is>
      </c>
      <c r="C16" s="25" t="inlineStr">
        <is>
          <t>Frei</t>
        </is>
      </c>
      <c r="D16" s="26" t="inlineStr">
        <is>
          <t>TM</t>
        </is>
      </c>
      <c r="E16" s="25" t="inlineStr">
        <is>
          <t>Frei</t>
        </is>
      </c>
      <c r="F16" s="25" t="inlineStr">
        <is>
          <t>Frei</t>
        </is>
      </c>
      <c r="G16" s="26" t="inlineStr">
        <is>
          <t>Beide frei</t>
        </is>
      </c>
      <c r="H16" s="29" t="inlineStr">
        <is>
          <t>Pause</t>
        </is>
      </c>
      <c r="I16" s="24" t="inlineStr">
        <is>
          <t>→Home</t>
        </is>
      </c>
      <c r="J16" s="26" t="inlineStr">
        <is>
          <t>TM</t>
        </is>
      </c>
      <c r="K16" s="24" t="inlineStr">
        <is>
          <t>→Home</t>
        </is>
      </c>
      <c r="L16" s="25" t="inlineStr">
        <is>
          <t>Frei</t>
        </is>
      </c>
      <c r="M16" s="26" t="inlineStr">
        <is>
          <t>Dom frei</t>
        </is>
      </c>
      <c r="N16" s="30" t="inlineStr">
        <is>
          <t>Pause</t>
        </is>
      </c>
      <c r="O16" s="24" t="inlineStr">
        <is>
          <t>→Home</t>
        </is>
      </c>
      <c r="P16" s="26" t="inlineStr">
        <is>
          <t>TM</t>
        </is>
      </c>
    </row>
    <row r="17">
      <c r="A17" s="23" t="inlineStr">
        <is>
          <t>12:30</t>
        </is>
      </c>
      <c r="B17" s="27" t="inlineStr">
        <is>
          <t>Büro</t>
        </is>
      </c>
      <c r="C17" s="25" t="inlineStr">
        <is>
          <t>Frei</t>
        </is>
      </c>
      <c r="D17" s="26" t="inlineStr">
        <is>
          <t>TM</t>
        </is>
      </c>
      <c r="E17" s="25" t="inlineStr">
        <is>
          <t>Frei</t>
        </is>
      </c>
      <c r="F17" s="25" t="inlineStr">
        <is>
          <t>Frei</t>
        </is>
      </c>
      <c r="G17" s="26" t="inlineStr">
        <is>
          <t>Beide frei</t>
        </is>
      </c>
      <c r="H17" s="27" t="inlineStr">
        <is>
          <t>Büro</t>
        </is>
      </c>
      <c r="I17" s="25" t="inlineStr">
        <is>
          <t>Frei</t>
        </is>
      </c>
      <c r="J17" s="26" t="inlineStr">
        <is>
          <t>TM</t>
        </is>
      </c>
      <c r="K17" s="30" t="inlineStr">
        <is>
          <t>Pause</t>
        </is>
      </c>
      <c r="L17" s="25" t="inlineStr">
        <is>
          <t>Frei</t>
        </is>
      </c>
      <c r="M17" s="26" t="inlineStr">
        <is>
          <t>P:Pause D:frei</t>
        </is>
      </c>
      <c r="N17" s="28" t="inlineStr">
        <is>
          <t>HO</t>
        </is>
      </c>
      <c r="O17" s="25" t="inlineStr">
        <is>
          <t>Frei</t>
        </is>
      </c>
      <c r="P17" s="26" t="inlineStr">
        <is>
          <t>TM</t>
        </is>
      </c>
    </row>
    <row r="18">
      <c r="A18" s="23" t="inlineStr">
        <is>
          <t>13:00</t>
        </is>
      </c>
      <c r="B18" s="27" t="inlineStr">
        <is>
          <t>Büro</t>
        </is>
      </c>
      <c r="C18" s="25" t="inlineStr">
        <is>
          <t>Frei</t>
        </is>
      </c>
      <c r="D18" s="26" t="inlineStr">
        <is>
          <t>Dom frei</t>
        </is>
      </c>
      <c r="E18" s="25" t="inlineStr">
        <is>
          <t>Frei</t>
        </is>
      </c>
      <c r="F18" s="25" t="inlineStr">
        <is>
          <t>Frei</t>
        </is>
      </c>
      <c r="G18" s="26" t="inlineStr">
        <is>
          <t>Beide frei</t>
        </is>
      </c>
      <c r="H18" s="27" t="inlineStr">
        <is>
          <t>Büro</t>
        </is>
      </c>
      <c r="I18" s="25" t="inlineStr">
        <is>
          <t>Frei</t>
        </is>
      </c>
      <c r="J18" s="26" t="inlineStr">
        <is>
          <t>Dom frei</t>
        </is>
      </c>
      <c r="K18" s="28" t="inlineStr">
        <is>
          <t>HO</t>
        </is>
      </c>
      <c r="L18" s="25" t="inlineStr">
        <is>
          <t>Frei</t>
        </is>
      </c>
      <c r="M18" s="26" t="inlineStr">
        <is>
          <t>P:HO D:frei</t>
        </is>
      </c>
      <c r="N18" s="28" t="inlineStr">
        <is>
          <t>HO</t>
        </is>
      </c>
      <c r="O18" s="25" t="inlineStr">
        <is>
          <t>Frei</t>
        </is>
      </c>
      <c r="P18" s="26" t="inlineStr">
        <is>
          <t>P:HO D:frei</t>
        </is>
      </c>
    </row>
    <row r="19">
      <c r="A19" s="23" t="inlineStr">
        <is>
          <t>13:30</t>
        </is>
      </c>
      <c r="B19" s="27" t="inlineStr">
        <is>
          <t>Büro</t>
        </is>
      </c>
      <c r="C19" s="25" t="inlineStr">
        <is>
          <t>Frei</t>
        </is>
      </c>
      <c r="D19" s="26" t="inlineStr">
        <is>
          <t>Dom frei</t>
        </is>
      </c>
      <c r="E19" s="25" t="inlineStr">
        <is>
          <t>Frei</t>
        </is>
      </c>
      <c r="F19" s="25" t="inlineStr">
        <is>
          <t>Frei</t>
        </is>
      </c>
      <c r="G19" s="26" t="inlineStr">
        <is>
          <t>Beide frei</t>
        </is>
      </c>
      <c r="H19" s="27" t="inlineStr">
        <is>
          <t>Büro</t>
        </is>
      </c>
      <c r="I19" s="25" t="inlineStr">
        <is>
          <t>Frei</t>
        </is>
      </c>
      <c r="J19" s="26" t="inlineStr">
        <is>
          <t>Dom frei</t>
        </is>
      </c>
      <c r="K19" s="28" t="inlineStr">
        <is>
          <t>HO</t>
        </is>
      </c>
      <c r="L19" s="25" t="inlineStr">
        <is>
          <t>Frei</t>
        </is>
      </c>
      <c r="M19" s="26" t="inlineStr">
        <is>
          <t>P:HO D:frei</t>
        </is>
      </c>
      <c r="N19" s="28" t="inlineStr">
        <is>
          <t>HO</t>
        </is>
      </c>
      <c r="O19" s="25" t="inlineStr">
        <is>
          <t>Frei</t>
        </is>
      </c>
      <c r="P19" s="26" t="inlineStr">
        <is>
          <t>P:HO D:frei</t>
        </is>
      </c>
    </row>
    <row r="20">
      <c r="A20" s="23" t="inlineStr">
        <is>
          <t>14:00</t>
        </is>
      </c>
      <c r="B20" s="27" t="inlineStr">
        <is>
          <t>Büro</t>
        </is>
      </c>
      <c r="C20" s="25" t="inlineStr">
        <is>
          <t>Frei</t>
        </is>
      </c>
      <c r="D20" s="26" t="inlineStr">
        <is>
          <t>Dom frei</t>
        </is>
      </c>
      <c r="E20" s="25" t="inlineStr">
        <is>
          <t>Frei</t>
        </is>
      </c>
      <c r="F20" s="25" t="inlineStr">
        <is>
          <t>Frei</t>
        </is>
      </c>
      <c r="G20" s="26" t="inlineStr">
        <is>
          <t>Beide frei</t>
        </is>
      </c>
      <c r="H20" s="27" t="inlineStr">
        <is>
          <t>Büro</t>
        </is>
      </c>
      <c r="I20" s="25" t="inlineStr">
        <is>
          <t>Frei</t>
        </is>
      </c>
      <c r="J20" s="26" t="inlineStr">
        <is>
          <t>Dom frei</t>
        </is>
      </c>
      <c r="K20" s="28" t="inlineStr">
        <is>
          <t>HO</t>
        </is>
      </c>
      <c r="L20" s="25" t="inlineStr">
        <is>
          <t>Frei</t>
        </is>
      </c>
      <c r="M20" s="26" t="inlineStr">
        <is>
          <t>P:HO D:frei</t>
        </is>
      </c>
      <c r="N20" s="28" t="inlineStr">
        <is>
          <t>HO</t>
        </is>
      </c>
      <c r="O20" s="25" t="inlineStr">
        <is>
          <t>Frei</t>
        </is>
      </c>
      <c r="P20" s="26" t="inlineStr">
        <is>
          <t>P:HO D:frei</t>
        </is>
      </c>
    </row>
    <row r="21">
      <c r="A21" s="23" t="inlineStr">
        <is>
          <t>14:30</t>
        </is>
      </c>
      <c r="B21" s="27" t="inlineStr">
        <is>
          <t>Büro</t>
        </is>
      </c>
      <c r="C21" s="25" t="inlineStr">
        <is>
          <t>Frei</t>
        </is>
      </c>
      <c r="D21" s="26" t="inlineStr">
        <is>
          <t>Dom frei</t>
        </is>
      </c>
      <c r="E21" s="25" t="inlineStr">
        <is>
          <t>Frei</t>
        </is>
      </c>
      <c r="F21" s="25" t="inlineStr">
        <is>
          <t>Frei</t>
        </is>
      </c>
      <c r="G21" s="26" t="inlineStr">
        <is>
          <t>Beide frei</t>
        </is>
      </c>
      <c r="H21" s="27" t="inlineStr">
        <is>
          <t>Büro</t>
        </is>
      </c>
      <c r="I21" s="25" t="inlineStr">
        <is>
          <t>Frei</t>
        </is>
      </c>
      <c r="J21" s="26" t="inlineStr">
        <is>
          <t>Dom frei</t>
        </is>
      </c>
      <c r="K21" s="28" t="inlineStr">
        <is>
          <t>HO</t>
        </is>
      </c>
      <c r="L21" s="25" t="inlineStr">
        <is>
          <t>Frei</t>
        </is>
      </c>
      <c r="M21" s="26" t="inlineStr">
        <is>
          <t>P:HO D:frei</t>
        </is>
      </c>
      <c r="N21" s="28" t="inlineStr">
        <is>
          <t>HO</t>
        </is>
      </c>
      <c r="O21" s="25" t="inlineStr">
        <is>
          <t>Frei</t>
        </is>
      </c>
      <c r="P21" s="26" t="inlineStr">
        <is>
          <t>P:HO D:frei</t>
        </is>
      </c>
    </row>
    <row r="22">
      <c r="A22" s="23" t="inlineStr">
        <is>
          <t>15:00</t>
        </is>
      </c>
      <c r="B22" s="27" t="inlineStr">
        <is>
          <t>Büro</t>
        </is>
      </c>
      <c r="C22" s="25" t="inlineStr">
        <is>
          <t>Frei</t>
        </is>
      </c>
      <c r="D22" s="26" t="inlineStr">
        <is>
          <t>Dom frei</t>
        </is>
      </c>
      <c r="E22" s="25" t="inlineStr">
        <is>
          <t>Frei</t>
        </is>
      </c>
      <c r="F22" s="25" t="inlineStr">
        <is>
          <t>Frei</t>
        </is>
      </c>
      <c r="G22" s="26" t="inlineStr">
        <is>
          <t>Beide frei</t>
        </is>
      </c>
      <c r="H22" s="27" t="inlineStr">
        <is>
          <t>Büro</t>
        </is>
      </c>
      <c r="I22" s="25" t="inlineStr">
        <is>
          <t>Frei</t>
        </is>
      </c>
      <c r="J22" s="26" t="inlineStr">
        <is>
          <t>Dom frei</t>
        </is>
      </c>
      <c r="K22" s="28" t="inlineStr">
        <is>
          <t>HO</t>
        </is>
      </c>
      <c r="L22" s="25" t="inlineStr">
        <is>
          <t>Frei</t>
        </is>
      </c>
      <c r="M22" s="26" t="inlineStr">
        <is>
          <t>P:HO D:frei</t>
        </is>
      </c>
      <c r="N22" s="28" t="inlineStr">
        <is>
          <t>HO</t>
        </is>
      </c>
      <c r="O22" s="25" t="inlineStr">
        <is>
          <t>Frei</t>
        </is>
      </c>
      <c r="P22" s="26" t="inlineStr">
        <is>
          <t>P:HO D:frei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5" t="inlineStr">
        <is>
          <t>Frei</t>
        </is>
      </c>
      <c r="D23" s="26" t="inlineStr">
        <is>
          <t>Dom frei</t>
        </is>
      </c>
      <c r="E23" s="25" t="inlineStr">
        <is>
          <t>Frei</t>
        </is>
      </c>
      <c r="F23" s="25" t="inlineStr">
        <is>
          <t>Frei</t>
        </is>
      </c>
      <c r="G23" s="26" t="inlineStr">
        <is>
          <t>Beide frei</t>
        </is>
      </c>
      <c r="H23" s="24" t="inlineStr">
        <is>
          <t>→Home</t>
        </is>
      </c>
      <c r="I23" s="25" t="inlineStr">
        <is>
          <t>Frei</t>
        </is>
      </c>
      <c r="J23" s="26" t="inlineStr">
        <is>
          <t>Dom frei</t>
        </is>
      </c>
      <c r="K23" s="28" t="inlineStr">
        <is>
          <t>HO</t>
        </is>
      </c>
      <c r="L23" s="25" t="inlineStr">
        <is>
          <t>Frei</t>
        </is>
      </c>
      <c r="M23" s="26" t="inlineStr">
        <is>
          <t>P:HO D:frei</t>
        </is>
      </c>
      <c r="N23" s="25" t="inlineStr">
        <is>
          <t>Frei</t>
        </is>
      </c>
      <c r="O23" s="25" t="inlineStr">
        <is>
          <t>Frei</t>
        </is>
      </c>
      <c r="P23" s="26" t="inlineStr">
        <is>
          <t>Beide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5" t="inlineStr">
        <is>
          <t>Frei</t>
        </is>
      </c>
      <c r="D24" s="26" t="inlineStr">
        <is>
          <t>Beide frei</t>
        </is>
      </c>
      <c r="E24" s="25" t="inlineStr">
        <is>
          <t>Frei</t>
        </is>
      </c>
      <c r="F24" s="25" t="inlineStr">
        <is>
          <t>Frei</t>
        </is>
      </c>
      <c r="G24" s="26" t="inlineStr">
        <is>
          <t>Beide frei</t>
        </is>
      </c>
      <c r="H24" s="25" t="inlineStr">
        <is>
          <t>Frei</t>
        </is>
      </c>
      <c r="I24" s="25" t="inlineStr">
        <is>
          <t>Frei</t>
        </is>
      </c>
      <c r="J24" s="26" t="inlineStr">
        <is>
          <t>Beide frei</t>
        </is>
      </c>
      <c r="K24" s="25" t="inlineStr">
        <is>
          <t>Frei</t>
        </is>
      </c>
      <c r="L24" s="25" t="inlineStr">
        <is>
          <t>Frei</t>
        </is>
      </c>
      <c r="M24" s="26" t="inlineStr">
        <is>
          <t>Beide frei</t>
        </is>
      </c>
      <c r="N24" s="25" t="inlineStr">
        <is>
          <t>Frei</t>
        </is>
      </c>
      <c r="O24" s="25" t="inlineStr">
        <is>
          <t>Frei</t>
        </is>
      </c>
      <c r="P24" s="26" t="inlineStr">
        <is>
          <t>Beide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5" t="inlineStr">
        <is>
          <t>Frei</t>
        </is>
      </c>
      <c r="J25" s="26" t="inlineStr">
        <is>
          <t>Beide frei</t>
        </is>
      </c>
      <c r="K25" s="25" t="inlineStr">
        <is>
          <t>Frei</t>
        </is>
      </c>
      <c r="L25" s="25" t="inlineStr">
        <is>
          <t>Frei</t>
        </is>
      </c>
      <c r="M25" s="26" t="inlineStr">
        <is>
          <t>Beide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7">
      <c r="A27" s="23" t="inlineStr">
        <is>
          <t>17:30</t>
        </is>
      </c>
      <c r="B27" s="25" t="inlineStr">
        <is>
          <t>Frei</t>
        </is>
      </c>
      <c r="C27" s="25" t="inlineStr">
        <is>
          <t>Frei</t>
        </is>
      </c>
      <c r="D27" s="26" t="inlineStr">
        <is>
          <t>Beide frei</t>
        </is>
      </c>
      <c r="E27" s="25" t="inlineStr">
        <is>
          <t>Frei</t>
        </is>
      </c>
      <c r="F27" s="25" t="inlineStr">
        <is>
          <t>Frei</t>
        </is>
      </c>
      <c r="G27" s="26" t="inlineStr">
        <is>
          <t>Beide frei</t>
        </is>
      </c>
      <c r="H27" s="25" t="inlineStr">
        <is>
          <t>Frei</t>
        </is>
      </c>
      <c r="I27" s="25" t="inlineStr">
        <is>
          <t>Frei</t>
        </is>
      </c>
      <c r="J27" s="26" t="inlineStr">
        <is>
          <t>Beide frei</t>
        </is>
      </c>
      <c r="K27" s="25" t="inlineStr">
        <is>
          <t>Frei</t>
        </is>
      </c>
      <c r="L27" s="25" t="inlineStr">
        <is>
          <t>Frei</t>
        </is>
      </c>
      <c r="M27" s="26" t="inlineStr">
        <is>
          <t>Beide frei</t>
        </is>
      </c>
      <c r="N27" s="25" t="inlineStr">
        <is>
          <t>Frei</t>
        </is>
      </c>
      <c r="O27" s="25" t="inlineStr">
        <is>
          <t>Frei</t>
        </is>
      </c>
      <c r="P27" s="26" t="inlineStr">
        <is>
          <t>Beide frei</t>
        </is>
      </c>
    </row>
    <row r="29">
      <c r="A29" s="3" t="inlineStr">
        <is>
          <t>Einkommen &amp; Kosten</t>
        </is>
      </c>
    </row>
    <row r="30">
      <c r="A30" s="31" t="inlineStr"/>
      <c r="B30" s="31" t="inlineStr">
        <is>
          <t>Wochenstd.</t>
        </is>
      </c>
      <c r="C30" s="31" t="inlineStr">
        <is>
          <t>Vollzeit Brutto/J</t>
        </is>
      </c>
      <c r="D30" s="31" t="inlineStr">
        <is>
          <t>Anteil</t>
        </is>
      </c>
      <c r="E30" s="31" t="inlineStr">
        <is>
          <t>Brutto/Mon</t>
        </is>
      </c>
      <c r="F30" s="31" t="inlineStr">
        <is>
          <t>Brutto/Jahr</t>
        </is>
      </c>
      <c r="G30" s="31" t="inlineStr">
        <is>
          <t>Netto/Mon (≈)</t>
        </is>
      </c>
      <c r="H30" s="31" t="inlineStr">
        <is>
          <t>Netto/Jahr (≈)</t>
        </is>
      </c>
    </row>
    <row r="31">
      <c r="A31" s="32" t="inlineStr">
        <is>
          <t>Paul</t>
        </is>
      </c>
      <c r="B31" s="33" t="n">
        <v>28</v>
      </c>
      <c r="C31" s="34" t="n">
        <v>96000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2" t="inlineStr">
        <is>
          <t>Dominique</t>
        </is>
      </c>
      <c r="B32" s="33" t="n">
        <v>20</v>
      </c>
      <c r="C32" s="34" t="n">
        <v>84000</v>
      </c>
      <c r="D32" s="35">
        <f>B32/40</f>
        <v/>
      </c>
      <c r="E32" s="34">
        <f>C32*D32/12</f>
        <v/>
      </c>
      <c r="F32" s="34">
        <f>C32*D32</f>
        <v/>
      </c>
      <c r="G32" s="34">
        <f>IF(E32&gt;=8000,E32*0.6,IF(E32&gt;=7000,E32*0.61,IF(E32&gt;=6000,E32*0.62,IF(E32&gt;=5000,E32*0.64,IF(E32&gt;=4000,E32*0.66,IF(E32&gt;=3000,E32*0.68,E32*0.70))))))</f>
        <v/>
      </c>
      <c r="H32" s="34">
        <f>G32*12</f>
        <v/>
      </c>
    </row>
    <row r="33">
      <c r="A33" s="36" t="inlineStr">
        <is>
          <t>Haushalt gesamt</t>
        </is>
      </c>
      <c r="B33" s="37">
        <f>B31+B32</f>
        <v/>
      </c>
      <c r="C33" s="36" t="n"/>
      <c r="D33" s="36" t="n"/>
      <c r="E33" s="38">
        <f>E31+E32</f>
        <v/>
      </c>
      <c r="F33" s="38">
        <f>F31+F32</f>
        <v/>
      </c>
      <c r="G33" s="38">
        <f>G31+G32</f>
        <v/>
      </c>
      <c r="H33" s="38">
        <f>H31+H32</f>
        <v/>
      </c>
    </row>
    <row r="35">
      <c r="A35" s="7" t="inlineStr">
        <is>
          <t>Haushaltseinkommen lt. Satzung (Brutto -30%)</t>
        </is>
      </c>
      <c r="B35" s="39">
        <f>F33*0.7</f>
        <v/>
      </c>
    </row>
    <row r="36">
      <c r="A36" s="7" t="inlineStr">
        <is>
          <t>Tagesmutter-Kosten/Monat (Gruppe IV, 15-19h)</t>
        </is>
      </c>
      <c r="B36" s="41" t="n">
        <v>148</v>
      </c>
    </row>
    <row r="37">
      <c r="A37" s="7" t="inlineStr">
        <is>
          <t>Netto-Haushalt nach TM-Kosten / Monat</t>
        </is>
      </c>
      <c r="B37" s="40">
        <f>G33-B36</f>
        <v/>
      </c>
    </row>
    <row r="39">
      <c r="A39" s="9" t="inlineStr">
        <is>
          <t>Netto-Schätzung: Steuerklasse IV/IV, verheiratet, 1 Kind, 2026 (Quelle: brutto-netto-rechner.info Näherung).</t>
        </is>
      </c>
    </row>
    <row r="40">
      <c r="A40" s="9" t="inlineStr">
        <is>
          <t>→ TM: 3 Tage. 16.5h/Woche. Gruppe IV (Haushalt -30% = 76.440 €)</t>
        </is>
      </c>
    </row>
    <row r="43">
      <c r="A43" s="7" t="inlineStr">
        <is>
          <t>Legende:</t>
        </is>
      </c>
    </row>
    <row r="44">
      <c r="A44" s="8" t="inlineStr"/>
      <c r="B44" s="9" t="inlineStr">
        <is>
          <t>Büro</t>
        </is>
      </c>
    </row>
    <row r="45">
      <c r="A45" s="10" t="inlineStr"/>
      <c r="B45" s="9" t="inlineStr">
        <is>
          <t>Homeoffice (HO) – ca. 50% Eigen-Betreuung möglich</t>
        </is>
      </c>
    </row>
    <row r="46">
      <c r="A46" s="11" t="inlineStr"/>
      <c r="B46" s="9" t="inlineStr">
        <is>
          <t>Pendeln (→Büro / →Home)</t>
        </is>
      </c>
    </row>
    <row r="47">
      <c r="A47" s="12" t="inlineStr"/>
      <c r="B47" s="9" t="inlineStr">
        <is>
          <t>Pause @ Büro (unbezahlt)</t>
        </is>
      </c>
    </row>
    <row r="48">
      <c r="A48" s="13" t="inlineStr"/>
      <c r="B48" s="9" t="inlineStr">
        <is>
          <t>Pause @ Zuhause (unbezahlt)</t>
        </is>
      </c>
    </row>
    <row r="49">
      <c r="A49" s="14" t="inlineStr"/>
      <c r="B49" s="9" t="inlineStr">
        <is>
          <t>Tagesmutter</t>
        </is>
      </c>
    </row>
    <row r="50">
      <c r="A50" s="15" t="inlineStr"/>
      <c r="B50" s="9" t="inlineStr">
        <is>
          <t>Frei / Eltern-Betreuung</t>
        </is>
      </c>
    </row>
    <row r="51">
      <c r="A51" s="16" t="inlineStr"/>
      <c r="B51" s="9" t="inlineStr">
        <is>
          <t>Niklas: betreut</t>
        </is>
      </c>
    </row>
    <row r="52">
      <c r="A52" s="17" t="inlineStr"/>
      <c r="B52" s="9" t="inlineStr">
        <is>
          <t>Niklas: LÜCKE</t>
        </is>
      </c>
    </row>
  </sheetData>
  <mergeCells count="19"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  <mergeCell ref="A1:P1"/>
    <mergeCell ref="H5:J5"/>
    <mergeCell ref="B52:E52"/>
    <mergeCell ref="B48:E48"/>
    <mergeCell ref="A29:H29"/>
    <mergeCell ref="E5:G5"/>
    <mergeCell ref="K5:M5"/>
    <mergeCell ref="B44:E44"/>
    <mergeCell ref="A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V9 – Tagesmutter 2 Tage (Mo/Mi) + Paul 21h + Dominique 50%</t>
        </is>
      </c>
    </row>
    <row r="2">
      <c r="A2" s="9" t="inlineStr">
        <is>
          <t>Paul: Mo/Mi Office 7h, Fr HO 7h, Di/Do FREI. Dom: 5×4h.</t>
        </is>
      </c>
    </row>
    <row r="4">
      <c r="A4" s="19" t="inlineStr">
        <is>
          <t>Wochenplan (07:30–18:00)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4" t="inlineStr">
        <is>
          <t>→Büro</t>
        </is>
      </c>
      <c r="C7" s="24" t="inlineStr">
        <is>
          <t>→Büro</t>
        </is>
      </c>
      <c r="D7" s="26" t="inlineStr">
        <is>
          <t>TM</t>
        </is>
      </c>
      <c r="E7" s="25" t="inlineStr">
        <is>
          <t>Frei</t>
        </is>
      </c>
      <c r="F7" s="25" t="inlineStr">
        <is>
          <t>Frei</t>
        </is>
      </c>
      <c r="G7" s="26" t="inlineStr">
        <is>
          <t>Beide frei</t>
        </is>
      </c>
      <c r="H7" s="24" t="inlineStr">
        <is>
          <t>→Büro</t>
        </is>
      </c>
      <c r="I7" s="24" t="inlineStr">
        <is>
          <t>→Büro</t>
        </is>
      </c>
      <c r="J7" s="26" t="inlineStr">
        <is>
          <t>TM</t>
        </is>
      </c>
      <c r="K7" s="25" t="inlineStr">
        <is>
          <t>Frei</t>
        </is>
      </c>
      <c r="L7" s="25" t="inlineStr">
        <is>
          <t>Frei</t>
        </is>
      </c>
      <c r="M7" s="26" t="inlineStr">
        <is>
          <t>Beide frei</t>
        </is>
      </c>
      <c r="N7" s="25" t="inlineStr">
        <is>
          <t>Frei</t>
        </is>
      </c>
      <c r="O7" s="25" t="inlineStr">
        <is>
          <t>Frei</t>
        </is>
      </c>
      <c r="P7" s="26" t="inlineStr">
        <is>
          <t>Beide frei</t>
        </is>
      </c>
    </row>
    <row r="8">
      <c r="A8" s="23" t="inlineStr">
        <is>
          <t>08:00</t>
        </is>
      </c>
      <c r="B8" s="27" t="inlineStr">
        <is>
          <t>Büro</t>
        </is>
      </c>
      <c r="C8" s="27" t="inlineStr">
        <is>
          <t>Büro</t>
        </is>
      </c>
      <c r="D8" s="26" t="inlineStr">
        <is>
          <t>TM</t>
        </is>
      </c>
      <c r="E8" s="25" t="inlineStr">
        <is>
          <t>Frei</t>
        </is>
      </c>
      <c r="F8" s="28" t="inlineStr">
        <is>
          <t>HO</t>
        </is>
      </c>
      <c r="G8" s="26" t="inlineStr">
        <is>
          <t>P:frei D:HO</t>
        </is>
      </c>
      <c r="H8" s="27" t="inlineStr">
        <is>
          <t>Büro</t>
        </is>
      </c>
      <c r="I8" s="27" t="inlineStr">
        <is>
          <t>Büro</t>
        </is>
      </c>
      <c r="J8" s="26" t="inlineStr">
        <is>
          <t>TM</t>
        </is>
      </c>
      <c r="K8" s="25" t="inlineStr">
        <is>
          <t>Frei</t>
        </is>
      </c>
      <c r="L8" s="28" t="inlineStr">
        <is>
          <t>HO</t>
        </is>
      </c>
      <c r="M8" s="26" t="inlineStr">
        <is>
          <t>P:frei D:HO</t>
        </is>
      </c>
      <c r="N8" s="28" t="inlineStr">
        <is>
          <t>HO</t>
        </is>
      </c>
      <c r="O8" s="28" t="inlineStr">
        <is>
          <t>HO</t>
        </is>
      </c>
      <c r="P8" s="26" t="inlineStr">
        <is>
          <t>P:HO D:HO</t>
        </is>
      </c>
    </row>
    <row r="9">
      <c r="A9" s="23" t="inlineStr">
        <is>
          <t>08:30</t>
        </is>
      </c>
      <c r="B9" s="27" t="inlineStr">
        <is>
          <t>Büro</t>
        </is>
      </c>
      <c r="C9" s="27" t="inlineStr">
        <is>
          <t>Büro</t>
        </is>
      </c>
      <c r="D9" s="26" t="inlineStr">
        <is>
          <t>TM</t>
        </is>
      </c>
      <c r="E9" s="25" t="inlineStr">
        <is>
          <t>Frei</t>
        </is>
      </c>
      <c r="F9" s="28" t="inlineStr">
        <is>
          <t>HO</t>
        </is>
      </c>
      <c r="G9" s="26" t="inlineStr">
        <is>
          <t>P:frei D:HO</t>
        </is>
      </c>
      <c r="H9" s="27" t="inlineStr">
        <is>
          <t>Büro</t>
        </is>
      </c>
      <c r="I9" s="27" t="inlineStr">
        <is>
          <t>Büro</t>
        </is>
      </c>
      <c r="J9" s="26" t="inlineStr">
        <is>
          <t>TM</t>
        </is>
      </c>
      <c r="K9" s="25" t="inlineStr">
        <is>
          <t>Frei</t>
        </is>
      </c>
      <c r="L9" s="28" t="inlineStr">
        <is>
          <t>HO</t>
        </is>
      </c>
      <c r="M9" s="26" t="inlineStr">
        <is>
          <t>P:frei D:HO</t>
        </is>
      </c>
      <c r="N9" s="28" t="inlineStr">
        <is>
          <t>HO</t>
        </is>
      </c>
      <c r="O9" s="28" t="inlineStr">
        <is>
          <t>HO</t>
        </is>
      </c>
      <c r="P9" s="26" t="inlineStr">
        <is>
          <t>P:HO D:HO</t>
        </is>
      </c>
    </row>
    <row r="10">
      <c r="A10" s="23" t="inlineStr">
        <is>
          <t>09:00</t>
        </is>
      </c>
      <c r="B10" s="27" t="inlineStr">
        <is>
          <t>Büro</t>
        </is>
      </c>
      <c r="C10" s="27" t="inlineStr">
        <is>
          <t>Büro</t>
        </is>
      </c>
      <c r="D10" s="26" t="inlineStr">
        <is>
          <t>TM</t>
        </is>
      </c>
      <c r="E10" s="25" t="inlineStr">
        <is>
          <t>Frei</t>
        </is>
      </c>
      <c r="F10" s="28" t="inlineStr">
        <is>
          <t>HO</t>
        </is>
      </c>
      <c r="G10" s="26" t="inlineStr">
        <is>
          <t>P:frei D:HO</t>
        </is>
      </c>
      <c r="H10" s="27" t="inlineStr">
        <is>
          <t>Büro</t>
        </is>
      </c>
      <c r="I10" s="27" t="inlineStr">
        <is>
          <t>Büro</t>
        </is>
      </c>
      <c r="J10" s="26" t="inlineStr">
        <is>
          <t>TM</t>
        </is>
      </c>
      <c r="K10" s="25" t="inlineStr">
        <is>
          <t>Frei</t>
        </is>
      </c>
      <c r="L10" s="28" t="inlineStr">
        <is>
          <t>HO</t>
        </is>
      </c>
      <c r="M10" s="26" t="inlineStr">
        <is>
          <t>P:frei D:HO</t>
        </is>
      </c>
      <c r="N10" s="28" t="inlineStr">
        <is>
          <t>HO</t>
        </is>
      </c>
      <c r="O10" s="28" t="inlineStr">
        <is>
          <t>HO</t>
        </is>
      </c>
      <c r="P10" s="26" t="inlineStr">
        <is>
          <t>P:HO D:HO</t>
        </is>
      </c>
    </row>
    <row r="11">
      <c r="A11" s="23" t="inlineStr">
        <is>
          <t>09:30</t>
        </is>
      </c>
      <c r="B11" s="27" t="inlineStr">
        <is>
          <t>Büro</t>
        </is>
      </c>
      <c r="C11" s="27" t="inlineStr">
        <is>
          <t>Büro</t>
        </is>
      </c>
      <c r="D11" s="26" t="inlineStr">
        <is>
          <t>TM</t>
        </is>
      </c>
      <c r="E11" s="25" t="inlineStr">
        <is>
          <t>Frei</t>
        </is>
      </c>
      <c r="F11" s="28" t="inlineStr">
        <is>
          <t>HO</t>
        </is>
      </c>
      <c r="G11" s="26" t="inlineStr">
        <is>
          <t>P:frei D:HO</t>
        </is>
      </c>
      <c r="H11" s="27" t="inlineStr">
        <is>
          <t>Büro</t>
        </is>
      </c>
      <c r="I11" s="27" t="inlineStr">
        <is>
          <t>Büro</t>
        </is>
      </c>
      <c r="J11" s="26" t="inlineStr">
        <is>
          <t>TM</t>
        </is>
      </c>
      <c r="K11" s="25" t="inlineStr">
        <is>
          <t>Frei</t>
        </is>
      </c>
      <c r="L11" s="28" t="inlineStr">
        <is>
          <t>HO</t>
        </is>
      </c>
      <c r="M11" s="26" t="inlineStr">
        <is>
          <t>P:frei D:HO</t>
        </is>
      </c>
      <c r="N11" s="28" t="inlineStr">
        <is>
          <t>HO</t>
        </is>
      </c>
      <c r="O11" s="28" t="inlineStr">
        <is>
          <t>HO</t>
        </is>
      </c>
      <c r="P11" s="26" t="inlineStr">
        <is>
          <t>P:HO D:HO</t>
        </is>
      </c>
    </row>
    <row r="12">
      <c r="A12" s="23" t="inlineStr">
        <is>
          <t>10:00</t>
        </is>
      </c>
      <c r="B12" s="27" t="inlineStr">
        <is>
          <t>Büro</t>
        </is>
      </c>
      <c r="C12" s="27" t="inlineStr">
        <is>
          <t>Büro</t>
        </is>
      </c>
      <c r="D12" s="26" t="inlineStr">
        <is>
          <t>TM</t>
        </is>
      </c>
      <c r="E12" s="25" t="inlineStr">
        <is>
          <t>Frei</t>
        </is>
      </c>
      <c r="F12" s="28" t="inlineStr">
        <is>
          <t>HO</t>
        </is>
      </c>
      <c r="G12" s="26" t="inlineStr">
        <is>
          <t>P:frei D:HO</t>
        </is>
      </c>
      <c r="H12" s="27" t="inlineStr">
        <is>
          <t>Büro</t>
        </is>
      </c>
      <c r="I12" s="27" t="inlineStr">
        <is>
          <t>Büro</t>
        </is>
      </c>
      <c r="J12" s="26" t="inlineStr">
        <is>
          <t>TM</t>
        </is>
      </c>
      <c r="K12" s="25" t="inlineStr">
        <is>
          <t>Frei</t>
        </is>
      </c>
      <c r="L12" s="28" t="inlineStr">
        <is>
          <t>HO</t>
        </is>
      </c>
      <c r="M12" s="26" t="inlineStr">
        <is>
          <t>P:frei D:HO</t>
        </is>
      </c>
      <c r="N12" s="28" t="inlineStr">
        <is>
          <t>HO</t>
        </is>
      </c>
      <c r="O12" s="28" t="inlineStr">
        <is>
          <t>HO</t>
        </is>
      </c>
      <c r="P12" s="26" t="inlineStr">
        <is>
          <t>P:HO D:HO</t>
        </is>
      </c>
    </row>
    <row r="13">
      <c r="A13" s="23" t="inlineStr">
        <is>
          <t>10:30</t>
        </is>
      </c>
      <c r="B13" s="27" t="inlineStr">
        <is>
          <t>Büro</t>
        </is>
      </c>
      <c r="C13" s="27" t="inlineStr">
        <is>
          <t>Büro</t>
        </is>
      </c>
      <c r="D13" s="26" t="inlineStr">
        <is>
          <t>TM</t>
        </is>
      </c>
      <c r="E13" s="25" t="inlineStr">
        <is>
          <t>Frei</t>
        </is>
      </c>
      <c r="F13" s="28" t="inlineStr">
        <is>
          <t>HO</t>
        </is>
      </c>
      <c r="G13" s="26" t="inlineStr">
        <is>
          <t>P:frei D:HO</t>
        </is>
      </c>
      <c r="H13" s="27" t="inlineStr">
        <is>
          <t>Büro</t>
        </is>
      </c>
      <c r="I13" s="27" t="inlineStr">
        <is>
          <t>Büro</t>
        </is>
      </c>
      <c r="J13" s="26" t="inlineStr">
        <is>
          <t>TM</t>
        </is>
      </c>
      <c r="K13" s="25" t="inlineStr">
        <is>
          <t>Frei</t>
        </is>
      </c>
      <c r="L13" s="28" t="inlineStr">
        <is>
          <t>HO</t>
        </is>
      </c>
      <c r="M13" s="26" t="inlineStr">
        <is>
          <t>P:frei D:HO</t>
        </is>
      </c>
      <c r="N13" s="28" t="inlineStr">
        <is>
          <t>HO</t>
        </is>
      </c>
      <c r="O13" s="28" t="inlineStr">
        <is>
          <t>HO</t>
        </is>
      </c>
      <c r="P13" s="26" t="inlineStr">
        <is>
          <t>P:HO D:HO</t>
        </is>
      </c>
    </row>
    <row r="14">
      <c r="A14" s="23" t="inlineStr">
        <is>
          <t>11:00</t>
        </is>
      </c>
      <c r="B14" s="27" t="inlineStr">
        <is>
          <t>Büro</t>
        </is>
      </c>
      <c r="C14" s="27" t="inlineStr">
        <is>
          <t>Büro</t>
        </is>
      </c>
      <c r="D14" s="26" t="inlineStr">
        <is>
          <t>TM</t>
        </is>
      </c>
      <c r="E14" s="25" t="inlineStr">
        <is>
          <t>Frei</t>
        </is>
      </c>
      <c r="F14" s="28" t="inlineStr">
        <is>
          <t>HO</t>
        </is>
      </c>
      <c r="G14" s="26" t="inlineStr">
        <is>
          <t>P:frei D:HO</t>
        </is>
      </c>
      <c r="H14" s="27" t="inlineStr">
        <is>
          <t>Büro</t>
        </is>
      </c>
      <c r="I14" s="27" t="inlineStr">
        <is>
          <t>Büro</t>
        </is>
      </c>
      <c r="J14" s="26" t="inlineStr">
        <is>
          <t>TM</t>
        </is>
      </c>
      <c r="K14" s="25" t="inlineStr">
        <is>
          <t>Frei</t>
        </is>
      </c>
      <c r="L14" s="28" t="inlineStr">
        <is>
          <t>HO</t>
        </is>
      </c>
      <c r="M14" s="26" t="inlineStr">
        <is>
          <t>P:frei D:HO</t>
        </is>
      </c>
      <c r="N14" s="28" t="inlineStr">
        <is>
          <t>HO</t>
        </is>
      </c>
      <c r="O14" s="28" t="inlineStr">
        <is>
          <t>HO</t>
        </is>
      </c>
      <c r="P14" s="26" t="inlineStr">
        <is>
          <t>P:HO D:HO</t>
        </is>
      </c>
    </row>
    <row r="15">
      <c r="A15" s="23" t="inlineStr">
        <is>
          <t>11:30</t>
        </is>
      </c>
      <c r="B15" s="27" t="inlineStr">
        <is>
          <t>Büro</t>
        </is>
      </c>
      <c r="C15" s="27" t="inlineStr">
        <is>
          <t>Büro</t>
        </is>
      </c>
      <c r="D15" s="26" t="inlineStr">
        <is>
          <t>TM</t>
        </is>
      </c>
      <c r="E15" s="25" t="inlineStr">
        <is>
          <t>Frei</t>
        </is>
      </c>
      <c r="F15" s="28" t="inlineStr">
        <is>
          <t>HO</t>
        </is>
      </c>
      <c r="G15" s="26" t="inlineStr">
        <is>
          <t>P:frei D:HO</t>
        </is>
      </c>
      <c r="H15" s="27" t="inlineStr">
        <is>
          <t>Büro</t>
        </is>
      </c>
      <c r="I15" s="27" t="inlineStr">
        <is>
          <t>Büro</t>
        </is>
      </c>
      <c r="J15" s="26" t="inlineStr">
        <is>
          <t>TM</t>
        </is>
      </c>
      <c r="K15" s="25" t="inlineStr">
        <is>
          <t>Frei</t>
        </is>
      </c>
      <c r="L15" s="28" t="inlineStr">
        <is>
          <t>HO</t>
        </is>
      </c>
      <c r="M15" s="26" t="inlineStr">
        <is>
          <t>P:frei D:HO</t>
        </is>
      </c>
      <c r="N15" s="28" t="inlineStr">
        <is>
          <t>HO</t>
        </is>
      </c>
      <c r="O15" s="28" t="inlineStr">
        <is>
          <t>HO</t>
        </is>
      </c>
      <c r="P15" s="26" t="inlineStr">
        <is>
          <t>P:HO D:HO</t>
        </is>
      </c>
    </row>
    <row r="16">
      <c r="A16" s="23" t="inlineStr">
        <is>
          <t>12:00</t>
        </is>
      </c>
      <c r="B16" s="29" t="inlineStr">
        <is>
          <t>Pause</t>
        </is>
      </c>
      <c r="C16" s="24" t="inlineStr">
        <is>
          <t>→Home</t>
        </is>
      </c>
      <c r="D16" s="26" t="inlineStr">
        <is>
          <t>TM</t>
        </is>
      </c>
      <c r="E16" s="25" t="inlineStr">
        <is>
          <t>Frei</t>
        </is>
      </c>
      <c r="F16" s="25" t="inlineStr">
        <is>
          <t>Frei</t>
        </is>
      </c>
      <c r="G16" s="26" t="inlineStr">
        <is>
          <t>Beide frei</t>
        </is>
      </c>
      <c r="H16" s="29" t="inlineStr">
        <is>
          <t>Pause</t>
        </is>
      </c>
      <c r="I16" s="24" t="inlineStr">
        <is>
          <t>→Home</t>
        </is>
      </c>
      <c r="J16" s="26" t="inlineStr">
        <is>
          <t>TM</t>
        </is>
      </c>
      <c r="K16" s="25" t="inlineStr">
        <is>
          <t>Frei</t>
        </is>
      </c>
      <c r="L16" s="25" t="inlineStr">
        <is>
          <t>Frei</t>
        </is>
      </c>
      <c r="M16" s="26" t="inlineStr">
        <is>
          <t>Beide frei</t>
        </is>
      </c>
      <c r="N16" s="30" t="inlineStr">
        <is>
          <t>Pause</t>
        </is>
      </c>
      <c r="O16" s="25" t="inlineStr">
        <is>
          <t>Frei</t>
        </is>
      </c>
      <c r="P16" s="26" t="inlineStr">
        <is>
          <t>P:Pause D:frei</t>
        </is>
      </c>
    </row>
    <row r="17">
      <c r="A17" s="23" t="inlineStr">
        <is>
          <t>12:30</t>
        </is>
      </c>
      <c r="B17" s="27" t="inlineStr">
        <is>
          <t>Büro</t>
        </is>
      </c>
      <c r="C17" s="25" t="inlineStr">
        <is>
          <t>Frei</t>
        </is>
      </c>
      <c r="D17" s="26" t="inlineStr">
        <is>
          <t>TM</t>
        </is>
      </c>
      <c r="E17" s="25" t="inlineStr">
        <is>
          <t>Frei</t>
        </is>
      </c>
      <c r="F17" s="25" t="inlineStr">
        <is>
          <t>Frei</t>
        </is>
      </c>
      <c r="G17" s="26" t="inlineStr">
        <is>
          <t>Beide frei</t>
        </is>
      </c>
      <c r="H17" s="27" t="inlineStr">
        <is>
          <t>Büro</t>
        </is>
      </c>
      <c r="I17" s="25" t="inlineStr">
        <is>
          <t>Frei</t>
        </is>
      </c>
      <c r="J17" s="26" t="inlineStr">
        <is>
          <t>TM</t>
        </is>
      </c>
      <c r="K17" s="25" t="inlineStr">
        <is>
          <t>Frei</t>
        </is>
      </c>
      <c r="L17" s="25" t="inlineStr">
        <is>
          <t>Frei</t>
        </is>
      </c>
      <c r="M17" s="26" t="inlineStr">
        <is>
          <t>Beide frei</t>
        </is>
      </c>
      <c r="N17" s="28" t="inlineStr">
        <is>
          <t>HO</t>
        </is>
      </c>
      <c r="O17" s="25" t="inlineStr">
        <is>
          <t>Frei</t>
        </is>
      </c>
      <c r="P17" s="26" t="inlineStr">
        <is>
          <t>P:HO D:frei</t>
        </is>
      </c>
    </row>
    <row r="18">
      <c r="A18" s="23" t="inlineStr">
        <is>
          <t>13:00</t>
        </is>
      </c>
      <c r="B18" s="27" t="inlineStr">
        <is>
          <t>Büro</t>
        </is>
      </c>
      <c r="C18" s="25" t="inlineStr">
        <is>
          <t>Frei</t>
        </is>
      </c>
      <c r="D18" s="26" t="inlineStr">
        <is>
          <t>Dom frei</t>
        </is>
      </c>
      <c r="E18" s="25" t="inlineStr">
        <is>
          <t>Frei</t>
        </is>
      </c>
      <c r="F18" s="25" t="inlineStr">
        <is>
          <t>Frei</t>
        </is>
      </c>
      <c r="G18" s="26" t="inlineStr">
        <is>
          <t>Beide frei</t>
        </is>
      </c>
      <c r="H18" s="27" t="inlineStr">
        <is>
          <t>Büro</t>
        </is>
      </c>
      <c r="I18" s="25" t="inlineStr">
        <is>
          <t>Frei</t>
        </is>
      </c>
      <c r="J18" s="26" t="inlineStr">
        <is>
          <t>Dom frei</t>
        </is>
      </c>
      <c r="K18" s="25" t="inlineStr">
        <is>
          <t>Frei</t>
        </is>
      </c>
      <c r="L18" s="25" t="inlineStr">
        <is>
          <t>Frei</t>
        </is>
      </c>
      <c r="M18" s="26" t="inlineStr">
        <is>
          <t>Beide frei</t>
        </is>
      </c>
      <c r="N18" s="28" t="inlineStr">
        <is>
          <t>HO</t>
        </is>
      </c>
      <c r="O18" s="25" t="inlineStr">
        <is>
          <t>Frei</t>
        </is>
      </c>
      <c r="P18" s="26" t="inlineStr">
        <is>
          <t>P:HO D:frei</t>
        </is>
      </c>
    </row>
    <row r="19">
      <c r="A19" s="23" t="inlineStr">
        <is>
          <t>13:30</t>
        </is>
      </c>
      <c r="B19" s="27" t="inlineStr">
        <is>
          <t>Büro</t>
        </is>
      </c>
      <c r="C19" s="25" t="inlineStr">
        <is>
          <t>Frei</t>
        </is>
      </c>
      <c r="D19" s="26" t="inlineStr">
        <is>
          <t>Dom frei</t>
        </is>
      </c>
      <c r="E19" s="25" t="inlineStr">
        <is>
          <t>Frei</t>
        </is>
      </c>
      <c r="F19" s="25" t="inlineStr">
        <is>
          <t>Frei</t>
        </is>
      </c>
      <c r="G19" s="26" t="inlineStr">
        <is>
          <t>Beide frei</t>
        </is>
      </c>
      <c r="H19" s="27" t="inlineStr">
        <is>
          <t>Büro</t>
        </is>
      </c>
      <c r="I19" s="25" t="inlineStr">
        <is>
          <t>Frei</t>
        </is>
      </c>
      <c r="J19" s="26" t="inlineStr">
        <is>
          <t>Dom frei</t>
        </is>
      </c>
      <c r="K19" s="25" t="inlineStr">
        <is>
          <t>Frei</t>
        </is>
      </c>
      <c r="L19" s="25" t="inlineStr">
        <is>
          <t>Frei</t>
        </is>
      </c>
      <c r="M19" s="26" t="inlineStr">
        <is>
          <t>Beide frei</t>
        </is>
      </c>
      <c r="N19" s="28" t="inlineStr">
        <is>
          <t>HO</t>
        </is>
      </c>
      <c r="O19" s="25" t="inlineStr">
        <is>
          <t>Frei</t>
        </is>
      </c>
      <c r="P19" s="26" t="inlineStr">
        <is>
          <t>P:HO D:frei</t>
        </is>
      </c>
    </row>
    <row r="20">
      <c r="A20" s="23" t="inlineStr">
        <is>
          <t>14:00</t>
        </is>
      </c>
      <c r="B20" s="27" t="inlineStr">
        <is>
          <t>Büro</t>
        </is>
      </c>
      <c r="C20" s="25" t="inlineStr">
        <is>
          <t>Frei</t>
        </is>
      </c>
      <c r="D20" s="26" t="inlineStr">
        <is>
          <t>Dom frei</t>
        </is>
      </c>
      <c r="E20" s="25" t="inlineStr">
        <is>
          <t>Frei</t>
        </is>
      </c>
      <c r="F20" s="25" t="inlineStr">
        <is>
          <t>Frei</t>
        </is>
      </c>
      <c r="G20" s="26" t="inlineStr">
        <is>
          <t>Beide frei</t>
        </is>
      </c>
      <c r="H20" s="27" t="inlineStr">
        <is>
          <t>Büro</t>
        </is>
      </c>
      <c r="I20" s="25" t="inlineStr">
        <is>
          <t>Frei</t>
        </is>
      </c>
      <c r="J20" s="26" t="inlineStr">
        <is>
          <t>Dom frei</t>
        </is>
      </c>
      <c r="K20" s="25" t="inlineStr">
        <is>
          <t>Frei</t>
        </is>
      </c>
      <c r="L20" s="25" t="inlineStr">
        <is>
          <t>Frei</t>
        </is>
      </c>
      <c r="M20" s="26" t="inlineStr">
        <is>
          <t>Beide frei</t>
        </is>
      </c>
      <c r="N20" s="28" t="inlineStr">
        <is>
          <t>HO</t>
        </is>
      </c>
      <c r="O20" s="25" t="inlineStr">
        <is>
          <t>Frei</t>
        </is>
      </c>
      <c r="P20" s="26" t="inlineStr">
        <is>
          <t>P:HO D:frei</t>
        </is>
      </c>
    </row>
    <row r="21">
      <c r="A21" s="23" t="inlineStr">
        <is>
          <t>14:30</t>
        </is>
      </c>
      <c r="B21" s="27" t="inlineStr">
        <is>
          <t>Büro</t>
        </is>
      </c>
      <c r="C21" s="25" t="inlineStr">
        <is>
          <t>Frei</t>
        </is>
      </c>
      <c r="D21" s="26" t="inlineStr">
        <is>
          <t>Dom frei</t>
        </is>
      </c>
      <c r="E21" s="25" t="inlineStr">
        <is>
          <t>Frei</t>
        </is>
      </c>
      <c r="F21" s="25" t="inlineStr">
        <is>
          <t>Frei</t>
        </is>
      </c>
      <c r="G21" s="26" t="inlineStr">
        <is>
          <t>Beide frei</t>
        </is>
      </c>
      <c r="H21" s="27" t="inlineStr">
        <is>
          <t>Büro</t>
        </is>
      </c>
      <c r="I21" s="25" t="inlineStr">
        <is>
          <t>Frei</t>
        </is>
      </c>
      <c r="J21" s="26" t="inlineStr">
        <is>
          <t>Dom frei</t>
        </is>
      </c>
      <c r="K21" s="25" t="inlineStr">
        <is>
          <t>Frei</t>
        </is>
      </c>
      <c r="L21" s="25" t="inlineStr">
        <is>
          <t>Frei</t>
        </is>
      </c>
      <c r="M21" s="26" t="inlineStr">
        <is>
          <t>Beide frei</t>
        </is>
      </c>
      <c r="N21" s="28" t="inlineStr">
        <is>
          <t>HO</t>
        </is>
      </c>
      <c r="O21" s="25" t="inlineStr">
        <is>
          <t>Frei</t>
        </is>
      </c>
      <c r="P21" s="26" t="inlineStr">
        <is>
          <t>P:HO D:frei</t>
        </is>
      </c>
    </row>
    <row r="22">
      <c r="A22" s="23" t="inlineStr">
        <is>
          <t>15:00</t>
        </is>
      </c>
      <c r="B22" s="27" t="inlineStr">
        <is>
          <t>Büro</t>
        </is>
      </c>
      <c r="C22" s="25" t="inlineStr">
        <is>
          <t>Frei</t>
        </is>
      </c>
      <c r="D22" s="26" t="inlineStr">
        <is>
          <t>Dom frei</t>
        </is>
      </c>
      <c r="E22" s="25" t="inlineStr">
        <is>
          <t>Frei</t>
        </is>
      </c>
      <c r="F22" s="25" t="inlineStr">
        <is>
          <t>Frei</t>
        </is>
      </c>
      <c r="G22" s="26" t="inlineStr">
        <is>
          <t>Beide frei</t>
        </is>
      </c>
      <c r="H22" s="27" t="inlineStr">
        <is>
          <t>Büro</t>
        </is>
      </c>
      <c r="I22" s="25" t="inlineStr">
        <is>
          <t>Frei</t>
        </is>
      </c>
      <c r="J22" s="26" t="inlineStr">
        <is>
          <t>Dom frei</t>
        </is>
      </c>
      <c r="K22" s="25" t="inlineStr">
        <is>
          <t>Frei</t>
        </is>
      </c>
      <c r="L22" s="25" t="inlineStr">
        <is>
          <t>Frei</t>
        </is>
      </c>
      <c r="M22" s="26" t="inlineStr">
        <is>
          <t>Beide frei</t>
        </is>
      </c>
      <c r="N22" s="28" t="inlineStr">
        <is>
          <t>HO</t>
        </is>
      </c>
      <c r="O22" s="25" t="inlineStr">
        <is>
          <t>Frei</t>
        </is>
      </c>
      <c r="P22" s="26" t="inlineStr">
        <is>
          <t>P:HO D:frei</t>
        </is>
      </c>
    </row>
    <row r="23">
      <c r="A23" s="23" t="inlineStr">
        <is>
          <t>15:30</t>
        </is>
      </c>
      <c r="B23" s="24" t="inlineStr">
        <is>
          <t>→Home</t>
        </is>
      </c>
      <c r="C23" s="25" t="inlineStr">
        <is>
          <t>Frei</t>
        </is>
      </c>
      <c r="D23" s="26" t="inlineStr">
        <is>
          <t>Dom frei</t>
        </is>
      </c>
      <c r="E23" s="25" t="inlineStr">
        <is>
          <t>Frei</t>
        </is>
      </c>
      <c r="F23" s="25" t="inlineStr">
        <is>
          <t>Frei</t>
        </is>
      </c>
      <c r="G23" s="26" t="inlineStr">
        <is>
          <t>Beide frei</t>
        </is>
      </c>
      <c r="H23" s="24" t="inlineStr">
        <is>
          <t>→Home</t>
        </is>
      </c>
      <c r="I23" s="25" t="inlineStr">
        <is>
          <t>Frei</t>
        </is>
      </c>
      <c r="J23" s="26" t="inlineStr">
        <is>
          <t>Dom frei</t>
        </is>
      </c>
      <c r="K23" s="25" t="inlineStr">
        <is>
          <t>Frei</t>
        </is>
      </c>
      <c r="L23" s="25" t="inlineStr">
        <is>
          <t>Frei</t>
        </is>
      </c>
      <c r="M23" s="26" t="inlineStr">
        <is>
          <t>Beide frei</t>
        </is>
      </c>
      <c r="N23" s="25" t="inlineStr">
        <is>
          <t>Frei</t>
        </is>
      </c>
      <c r="O23" s="25" t="inlineStr">
        <is>
          <t>Frei</t>
        </is>
      </c>
      <c r="P23" s="26" t="inlineStr">
        <is>
          <t>Beide frei</t>
        </is>
      </c>
    </row>
    <row r="24">
      <c r="A24" s="23" t="inlineStr">
        <is>
          <t>16:00</t>
        </is>
      </c>
      <c r="B24" s="25" t="inlineStr">
        <is>
          <t>Frei</t>
        </is>
      </c>
      <c r="C24" s="25" t="inlineStr">
        <is>
          <t>Frei</t>
        </is>
      </c>
      <c r="D24" s="26" t="inlineStr">
        <is>
          <t>Beide frei</t>
        </is>
      </c>
      <c r="E24" s="25" t="inlineStr">
        <is>
          <t>Frei</t>
        </is>
      </c>
      <c r="F24" s="25" t="inlineStr">
        <is>
          <t>Frei</t>
        </is>
      </c>
      <c r="G24" s="26" t="inlineStr">
        <is>
          <t>Beide frei</t>
        </is>
      </c>
      <c r="H24" s="25" t="inlineStr">
        <is>
          <t>Frei</t>
        </is>
      </c>
      <c r="I24" s="25" t="inlineStr">
        <is>
          <t>Frei</t>
        </is>
      </c>
      <c r="J24" s="26" t="inlineStr">
        <is>
          <t>Beide frei</t>
        </is>
      </c>
      <c r="K24" s="25" t="inlineStr">
        <is>
          <t>Frei</t>
        </is>
      </c>
      <c r="L24" s="25" t="inlineStr">
        <is>
          <t>Frei</t>
        </is>
      </c>
      <c r="M24" s="26" t="inlineStr">
        <is>
          <t>Beide frei</t>
        </is>
      </c>
      <c r="N24" s="25" t="inlineStr">
        <is>
          <t>Frei</t>
        </is>
      </c>
      <c r="O24" s="25" t="inlineStr">
        <is>
          <t>Frei</t>
        </is>
      </c>
      <c r="P24" s="26" t="inlineStr">
        <is>
          <t>Beide frei</t>
        </is>
      </c>
    </row>
    <row r="25">
      <c r="A25" s="23" t="inlineStr">
        <is>
          <t>16:30</t>
        </is>
      </c>
      <c r="B25" s="25" t="inlineStr">
        <is>
          <t>Frei</t>
        </is>
      </c>
      <c r="C25" s="25" t="inlineStr">
        <is>
          <t>Frei</t>
        </is>
      </c>
      <c r="D25" s="26" t="inlineStr">
        <is>
          <t>Beide frei</t>
        </is>
      </c>
      <c r="E25" s="25" t="inlineStr">
        <is>
          <t>Frei</t>
        </is>
      </c>
      <c r="F25" s="25" t="inlineStr">
        <is>
          <t>Frei</t>
        </is>
      </c>
      <c r="G25" s="26" t="inlineStr">
        <is>
          <t>Beide frei</t>
        </is>
      </c>
      <c r="H25" s="25" t="inlineStr">
        <is>
          <t>Frei</t>
        </is>
      </c>
      <c r="I25" s="25" t="inlineStr">
        <is>
          <t>Frei</t>
        </is>
      </c>
      <c r="J25" s="26" t="inlineStr">
        <is>
          <t>Beide frei</t>
        </is>
      </c>
      <c r="K25" s="25" t="inlineStr">
        <is>
          <t>Frei</t>
        </is>
      </c>
      <c r="L25" s="25" t="inlineStr">
        <is>
          <t>Frei</t>
        </is>
      </c>
      <c r="M25" s="26" t="inlineStr">
        <is>
          <t>Beide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5" t="inlineStr">
        <is>
          <t>Frei</t>
        </is>
      </c>
      <c r="C26" s="25" t="inlineStr">
        <is>
          <t>Frei</t>
        </is>
      </c>
      <c r="D26" s="26" t="inlineStr">
        <is>
          <t>Beide frei</t>
        </is>
      </c>
      <c r="E26" s="25" t="inlineStr">
        <is>
          <t>Frei</t>
        </is>
      </c>
      <c r="F26" s="25" t="inlineStr">
        <is>
          <t>Frei</t>
        </is>
      </c>
      <c r="G26" s="26" t="inlineStr">
        <is>
          <t>Beide frei</t>
        </is>
      </c>
      <c r="H26" s="25" t="inlineStr">
        <is>
          <t>Frei</t>
        </is>
      </c>
      <c r="I26" s="25" t="inlineStr">
        <is>
          <t>Frei</t>
        </is>
      </c>
      <c r="J26" s="26" t="inlineStr">
        <is>
          <t>Beide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7">
      <c r="A27" s="23" t="inlineStr">
        <is>
          <t>17:30</t>
        </is>
      </c>
      <c r="B27" s="25" t="inlineStr">
        <is>
          <t>Frei</t>
        </is>
      </c>
      <c r="C27" s="25" t="inlineStr">
        <is>
          <t>Frei</t>
        </is>
      </c>
      <c r="D27" s="26" t="inlineStr">
        <is>
          <t>Beide frei</t>
        </is>
      </c>
      <c r="E27" s="25" t="inlineStr">
        <is>
          <t>Frei</t>
        </is>
      </c>
      <c r="F27" s="25" t="inlineStr">
        <is>
          <t>Frei</t>
        </is>
      </c>
      <c r="G27" s="26" t="inlineStr">
        <is>
          <t>Beide frei</t>
        </is>
      </c>
      <c r="H27" s="25" t="inlineStr">
        <is>
          <t>Frei</t>
        </is>
      </c>
      <c r="I27" s="25" t="inlineStr">
        <is>
          <t>Frei</t>
        </is>
      </c>
      <c r="J27" s="26" t="inlineStr">
        <is>
          <t>Beide frei</t>
        </is>
      </c>
      <c r="K27" s="25" t="inlineStr">
        <is>
          <t>Frei</t>
        </is>
      </c>
      <c r="L27" s="25" t="inlineStr">
        <is>
          <t>Frei</t>
        </is>
      </c>
      <c r="M27" s="26" t="inlineStr">
        <is>
          <t>Beide frei</t>
        </is>
      </c>
      <c r="N27" s="25" t="inlineStr">
        <is>
          <t>Frei</t>
        </is>
      </c>
      <c r="O27" s="25" t="inlineStr">
        <is>
          <t>Frei</t>
        </is>
      </c>
      <c r="P27" s="26" t="inlineStr">
        <is>
          <t>Beide frei</t>
        </is>
      </c>
    </row>
    <row r="29">
      <c r="A29" s="3" t="inlineStr">
        <is>
          <t>Einkommen &amp; Kosten</t>
        </is>
      </c>
    </row>
    <row r="30">
      <c r="A30" s="31" t="inlineStr"/>
      <c r="B30" s="31" t="inlineStr">
        <is>
          <t>Wochenstd.</t>
        </is>
      </c>
      <c r="C30" s="31" t="inlineStr">
        <is>
          <t>Vollzeit Brutto/J</t>
        </is>
      </c>
      <c r="D30" s="31" t="inlineStr">
        <is>
          <t>Anteil</t>
        </is>
      </c>
      <c r="E30" s="31" t="inlineStr">
        <is>
          <t>Brutto/Mon</t>
        </is>
      </c>
      <c r="F30" s="31" t="inlineStr">
        <is>
          <t>Brutto/Jahr</t>
        </is>
      </c>
      <c r="G30" s="31" t="inlineStr">
        <is>
          <t>Netto/Mon (≈)</t>
        </is>
      </c>
      <c r="H30" s="31" t="inlineStr">
        <is>
          <t>Netto/Jahr (≈)</t>
        </is>
      </c>
    </row>
    <row r="31">
      <c r="A31" s="32" t="inlineStr">
        <is>
          <t>Paul</t>
        </is>
      </c>
      <c r="B31" s="33" t="n">
        <v>21</v>
      </c>
      <c r="C31" s="34" t="n">
        <v>96000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2" t="inlineStr">
        <is>
          <t>Dominique</t>
        </is>
      </c>
      <c r="B32" s="33" t="n">
        <v>20</v>
      </c>
      <c r="C32" s="34" t="n">
        <v>84000</v>
      </c>
      <c r="D32" s="35">
        <f>B32/40</f>
        <v/>
      </c>
      <c r="E32" s="34">
        <f>C32*D32/12</f>
        <v/>
      </c>
      <c r="F32" s="34">
        <f>C32*D32</f>
        <v/>
      </c>
      <c r="G32" s="34">
        <f>IF(E32&gt;=8000,E32*0.6,IF(E32&gt;=7000,E32*0.61,IF(E32&gt;=6000,E32*0.62,IF(E32&gt;=5000,E32*0.64,IF(E32&gt;=4000,E32*0.66,IF(E32&gt;=3000,E32*0.68,E32*0.70))))))</f>
        <v/>
      </c>
      <c r="H32" s="34">
        <f>G32*12</f>
        <v/>
      </c>
    </row>
    <row r="33">
      <c r="A33" s="36" t="inlineStr">
        <is>
          <t>Haushalt gesamt</t>
        </is>
      </c>
      <c r="B33" s="37">
        <f>B31+B32</f>
        <v/>
      </c>
      <c r="C33" s="36" t="n"/>
      <c r="D33" s="36" t="n"/>
      <c r="E33" s="38">
        <f>E31+E32</f>
        <v/>
      </c>
      <c r="F33" s="38">
        <f>F31+F32</f>
        <v/>
      </c>
      <c r="G33" s="38">
        <f>G31+G32</f>
        <v/>
      </c>
      <c r="H33" s="38">
        <f>H31+H32</f>
        <v/>
      </c>
    </row>
    <row r="35">
      <c r="A35" s="7" t="inlineStr">
        <is>
          <t>Haushaltseinkommen lt. Satzung (Brutto -30%)</t>
        </is>
      </c>
      <c r="B35" s="39">
        <f>F33*0.7</f>
        <v/>
      </c>
    </row>
    <row r="36">
      <c r="A36" s="7" t="inlineStr">
        <is>
          <t>Tagesmutter-Kosten/Monat (Gruppe IV, 10-14h)</t>
        </is>
      </c>
      <c r="B36" s="41" t="n">
        <v>106</v>
      </c>
    </row>
    <row r="37">
      <c r="A37" s="7" t="inlineStr">
        <is>
          <t>Netto-Haushalt nach TM-Kosten / Monat</t>
        </is>
      </c>
      <c r="B37" s="40">
        <f>G33-B36</f>
        <v/>
      </c>
    </row>
    <row r="39">
      <c r="A39" s="9" t="inlineStr">
        <is>
          <t>Netto-Schätzung: Steuerklasse IV/IV, verheiratet, 1 Kind, 2026 (Quelle: brutto-netto-rechner.info Näherung).</t>
        </is>
      </c>
    </row>
    <row r="40">
      <c r="A40" s="9" t="inlineStr">
        <is>
          <t>→ TM: 2 Tage. 11.0h/Woche. Gruppe IV (Haushalt -30% = 64.679 €)</t>
        </is>
      </c>
    </row>
    <row r="43">
      <c r="A43" s="7" t="inlineStr">
        <is>
          <t>Legende:</t>
        </is>
      </c>
    </row>
    <row r="44">
      <c r="A44" s="8" t="inlineStr"/>
      <c r="B44" s="9" t="inlineStr">
        <is>
          <t>Büro</t>
        </is>
      </c>
    </row>
    <row r="45">
      <c r="A45" s="10" t="inlineStr"/>
      <c r="B45" s="9" t="inlineStr">
        <is>
          <t>Homeoffice (HO) – ca. 50% Eigen-Betreuung möglich</t>
        </is>
      </c>
    </row>
    <row r="46">
      <c r="A46" s="11" t="inlineStr"/>
      <c r="B46" s="9" t="inlineStr">
        <is>
          <t>Pendeln (→Büro / →Home)</t>
        </is>
      </c>
    </row>
    <row r="47">
      <c r="A47" s="12" t="inlineStr"/>
      <c r="B47" s="9" t="inlineStr">
        <is>
          <t>Pause @ Büro (unbezahlt)</t>
        </is>
      </c>
    </row>
    <row r="48">
      <c r="A48" s="13" t="inlineStr"/>
      <c r="B48" s="9" t="inlineStr">
        <is>
          <t>Pause @ Zuhause (unbezahlt)</t>
        </is>
      </c>
    </row>
    <row r="49">
      <c r="A49" s="14" t="inlineStr"/>
      <c r="B49" s="9" t="inlineStr">
        <is>
          <t>Tagesmutter</t>
        </is>
      </c>
    </row>
    <row r="50">
      <c r="A50" s="15" t="inlineStr"/>
      <c r="B50" s="9" t="inlineStr">
        <is>
          <t>Frei / Eltern-Betreuung</t>
        </is>
      </c>
    </row>
    <row r="51">
      <c r="A51" s="16" t="inlineStr"/>
      <c r="B51" s="9" t="inlineStr">
        <is>
          <t>Niklas: betreut</t>
        </is>
      </c>
    </row>
    <row r="52">
      <c r="A52" s="17" t="inlineStr"/>
      <c r="B52" s="9" t="inlineStr">
        <is>
          <t>Niklas: LÜCKE</t>
        </is>
      </c>
    </row>
  </sheetData>
  <mergeCells count="19"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  <mergeCell ref="A1:P1"/>
    <mergeCell ref="H5:J5"/>
    <mergeCell ref="B52:E52"/>
    <mergeCell ref="B48:E48"/>
    <mergeCell ref="A29:H29"/>
    <mergeCell ref="E5:G5"/>
    <mergeCell ref="K5:M5"/>
    <mergeCell ref="B44:E44"/>
    <mergeCell ref="A2:P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V10 – Tagesmutter Mo/Di/Do (20h) + Paul 35h auf 4 Tage + Dominique 20h</t>
        </is>
      </c>
    </row>
    <row r="2">
      <c r="A2" s="9" t="inlineStr">
        <is>
          <t>Paul: Mo HO 9h, Di HO 9h, Mi Office 9h, Do Office 8h, Fr FREI. Dom: Mo/Di Office 8h, Mi FREI, Do HO 4h, Fr FREI. TM: Mo 07:30-15:30 (8h), Di 07:30-15:30 (8h), Do 07:30-11:30 (4h).</t>
        </is>
      </c>
    </row>
    <row r="4">
      <c r="A4" s="19" t="inlineStr">
        <is>
          <t>Wochenplan (07:30–18:00)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5" t="inlineStr">
        <is>
          <t>Frei</t>
        </is>
      </c>
      <c r="C7" s="24" t="inlineStr">
        <is>
          <t>→Büro</t>
        </is>
      </c>
      <c r="D7" s="26" t="inlineStr">
        <is>
          <t>TM</t>
        </is>
      </c>
      <c r="E7" s="25" t="inlineStr">
        <is>
          <t>Frei</t>
        </is>
      </c>
      <c r="F7" s="24" t="inlineStr">
        <is>
          <t>→Büro</t>
        </is>
      </c>
      <c r="G7" s="26" t="inlineStr">
        <is>
          <t>TM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Dom frei</t>
        </is>
      </c>
      <c r="K7" s="24" t="inlineStr">
        <is>
          <t>→Büro</t>
        </is>
      </c>
      <c r="L7" s="25" t="inlineStr">
        <is>
          <t>Frei</t>
        </is>
      </c>
      <c r="M7" s="26" t="inlineStr">
        <is>
          <t>TM</t>
        </is>
      </c>
      <c r="N7" s="25" t="inlineStr">
        <is>
          <t>Frei</t>
        </is>
      </c>
      <c r="O7" s="25" t="inlineStr">
        <is>
          <t>Frei</t>
        </is>
      </c>
      <c r="P7" s="26" t="inlineStr">
        <is>
          <t>Beide frei</t>
        </is>
      </c>
    </row>
    <row r="8">
      <c r="A8" s="23" t="inlineStr">
        <is>
          <t>08:00</t>
        </is>
      </c>
      <c r="B8" s="28" t="inlineStr">
        <is>
          <t>HO</t>
        </is>
      </c>
      <c r="C8" s="27" t="inlineStr">
        <is>
          <t>Büro</t>
        </is>
      </c>
      <c r="D8" s="26" t="inlineStr">
        <is>
          <t>TM</t>
        </is>
      </c>
      <c r="E8" s="28" t="inlineStr">
        <is>
          <t>HO</t>
        </is>
      </c>
      <c r="F8" s="27" t="inlineStr">
        <is>
          <t>Büro</t>
        </is>
      </c>
      <c r="G8" s="26" t="inlineStr">
        <is>
          <t>TM</t>
        </is>
      </c>
      <c r="H8" s="27" t="inlineStr">
        <is>
          <t>Büro</t>
        </is>
      </c>
      <c r="I8" s="25" t="inlineStr">
        <is>
          <t>Frei</t>
        </is>
      </c>
      <c r="J8" s="26" t="inlineStr">
        <is>
          <t>Dom frei</t>
        </is>
      </c>
      <c r="K8" s="27" t="inlineStr">
        <is>
          <t>Büro</t>
        </is>
      </c>
      <c r="L8" s="28" t="inlineStr">
        <is>
          <t>HO</t>
        </is>
      </c>
      <c r="M8" s="26" t="inlineStr">
        <is>
          <t>TM</t>
        </is>
      </c>
      <c r="N8" s="25" t="inlineStr">
        <is>
          <t>Frei</t>
        </is>
      </c>
      <c r="O8" s="25" t="inlineStr">
        <is>
          <t>Frei</t>
        </is>
      </c>
      <c r="P8" s="26" t="inlineStr">
        <is>
          <t>Beide frei</t>
        </is>
      </c>
    </row>
    <row r="9">
      <c r="A9" s="23" t="inlineStr">
        <is>
          <t>08:30</t>
        </is>
      </c>
      <c r="B9" s="28" t="inlineStr">
        <is>
          <t>HO</t>
        </is>
      </c>
      <c r="C9" s="27" t="inlineStr">
        <is>
          <t>Büro</t>
        </is>
      </c>
      <c r="D9" s="26" t="inlineStr">
        <is>
          <t>TM</t>
        </is>
      </c>
      <c r="E9" s="28" t="inlineStr">
        <is>
          <t>HO</t>
        </is>
      </c>
      <c r="F9" s="27" t="inlineStr">
        <is>
          <t>Büro</t>
        </is>
      </c>
      <c r="G9" s="26" t="inlineStr">
        <is>
          <t>TM</t>
        </is>
      </c>
      <c r="H9" s="27" t="inlineStr">
        <is>
          <t>Büro</t>
        </is>
      </c>
      <c r="I9" s="25" t="inlineStr">
        <is>
          <t>Frei</t>
        </is>
      </c>
      <c r="J9" s="26" t="inlineStr">
        <is>
          <t>Dom frei</t>
        </is>
      </c>
      <c r="K9" s="27" t="inlineStr">
        <is>
          <t>Büro</t>
        </is>
      </c>
      <c r="L9" s="28" t="inlineStr">
        <is>
          <t>HO</t>
        </is>
      </c>
      <c r="M9" s="26" t="inlineStr">
        <is>
          <t>TM</t>
        </is>
      </c>
      <c r="N9" s="25" t="inlineStr">
        <is>
          <t>Frei</t>
        </is>
      </c>
      <c r="O9" s="25" t="inlineStr">
        <is>
          <t>Frei</t>
        </is>
      </c>
      <c r="P9" s="26" t="inlineStr">
        <is>
          <t>Beide frei</t>
        </is>
      </c>
    </row>
    <row r="10">
      <c r="A10" s="23" t="inlineStr">
        <is>
          <t>09:00</t>
        </is>
      </c>
      <c r="B10" s="28" t="inlineStr">
        <is>
          <t>HO</t>
        </is>
      </c>
      <c r="C10" s="27" t="inlineStr">
        <is>
          <t>Büro</t>
        </is>
      </c>
      <c r="D10" s="26" t="inlineStr">
        <is>
          <t>TM</t>
        </is>
      </c>
      <c r="E10" s="28" t="inlineStr">
        <is>
          <t>HO</t>
        </is>
      </c>
      <c r="F10" s="27" t="inlineStr">
        <is>
          <t>Büro</t>
        </is>
      </c>
      <c r="G10" s="26" t="inlineStr">
        <is>
          <t>TM</t>
        </is>
      </c>
      <c r="H10" s="27" t="inlineStr">
        <is>
          <t>Büro</t>
        </is>
      </c>
      <c r="I10" s="25" t="inlineStr">
        <is>
          <t>Frei</t>
        </is>
      </c>
      <c r="J10" s="26" t="inlineStr">
        <is>
          <t>Dom frei</t>
        </is>
      </c>
      <c r="K10" s="27" t="inlineStr">
        <is>
          <t>Büro</t>
        </is>
      </c>
      <c r="L10" s="28" t="inlineStr">
        <is>
          <t>HO</t>
        </is>
      </c>
      <c r="M10" s="26" t="inlineStr">
        <is>
          <t>TM</t>
        </is>
      </c>
      <c r="N10" s="25" t="inlineStr">
        <is>
          <t>Frei</t>
        </is>
      </c>
      <c r="O10" s="25" t="inlineStr">
        <is>
          <t>Frei</t>
        </is>
      </c>
      <c r="P10" s="26" t="inlineStr">
        <is>
          <t>Beide frei</t>
        </is>
      </c>
    </row>
    <row r="11">
      <c r="A11" s="23" t="inlineStr">
        <is>
          <t>09:30</t>
        </is>
      </c>
      <c r="B11" s="28" t="inlineStr">
        <is>
          <t>HO</t>
        </is>
      </c>
      <c r="C11" s="27" t="inlineStr">
        <is>
          <t>Büro</t>
        </is>
      </c>
      <c r="D11" s="26" t="inlineStr">
        <is>
          <t>TM</t>
        </is>
      </c>
      <c r="E11" s="28" t="inlineStr">
        <is>
          <t>HO</t>
        </is>
      </c>
      <c r="F11" s="27" t="inlineStr">
        <is>
          <t>Büro</t>
        </is>
      </c>
      <c r="G11" s="26" t="inlineStr">
        <is>
          <t>TM</t>
        </is>
      </c>
      <c r="H11" s="27" t="inlineStr">
        <is>
          <t>Büro</t>
        </is>
      </c>
      <c r="I11" s="25" t="inlineStr">
        <is>
          <t>Frei</t>
        </is>
      </c>
      <c r="J11" s="26" t="inlineStr">
        <is>
          <t>Dom frei</t>
        </is>
      </c>
      <c r="K11" s="27" t="inlineStr">
        <is>
          <t>Büro</t>
        </is>
      </c>
      <c r="L11" s="28" t="inlineStr">
        <is>
          <t>HO</t>
        </is>
      </c>
      <c r="M11" s="26" t="inlineStr">
        <is>
          <t>TM</t>
        </is>
      </c>
      <c r="N11" s="25" t="inlineStr">
        <is>
          <t>Frei</t>
        </is>
      </c>
      <c r="O11" s="25" t="inlineStr">
        <is>
          <t>Frei</t>
        </is>
      </c>
      <c r="P11" s="26" t="inlineStr">
        <is>
          <t>Beide frei</t>
        </is>
      </c>
    </row>
    <row r="12">
      <c r="A12" s="23" t="inlineStr">
        <is>
          <t>10:00</t>
        </is>
      </c>
      <c r="B12" s="28" t="inlineStr">
        <is>
          <t>HO</t>
        </is>
      </c>
      <c r="C12" s="27" t="inlineStr">
        <is>
          <t>Büro</t>
        </is>
      </c>
      <c r="D12" s="26" t="inlineStr">
        <is>
          <t>TM</t>
        </is>
      </c>
      <c r="E12" s="28" t="inlineStr">
        <is>
          <t>HO</t>
        </is>
      </c>
      <c r="F12" s="27" t="inlineStr">
        <is>
          <t>Büro</t>
        </is>
      </c>
      <c r="G12" s="26" t="inlineStr">
        <is>
          <t>TM</t>
        </is>
      </c>
      <c r="H12" s="27" t="inlineStr">
        <is>
          <t>Büro</t>
        </is>
      </c>
      <c r="I12" s="25" t="inlineStr">
        <is>
          <t>Frei</t>
        </is>
      </c>
      <c r="J12" s="26" t="inlineStr">
        <is>
          <t>Dom frei</t>
        </is>
      </c>
      <c r="K12" s="27" t="inlineStr">
        <is>
          <t>Büro</t>
        </is>
      </c>
      <c r="L12" s="28" t="inlineStr">
        <is>
          <t>HO</t>
        </is>
      </c>
      <c r="M12" s="26" t="inlineStr">
        <is>
          <t>TM</t>
        </is>
      </c>
      <c r="N12" s="25" t="inlineStr">
        <is>
          <t>Frei</t>
        </is>
      </c>
      <c r="O12" s="25" t="inlineStr">
        <is>
          <t>Frei</t>
        </is>
      </c>
      <c r="P12" s="26" t="inlineStr">
        <is>
          <t>Beide frei</t>
        </is>
      </c>
    </row>
    <row r="13">
      <c r="A13" s="23" t="inlineStr">
        <is>
          <t>10:30</t>
        </is>
      </c>
      <c r="B13" s="28" t="inlineStr">
        <is>
          <t>HO</t>
        </is>
      </c>
      <c r="C13" s="27" t="inlineStr">
        <is>
          <t>Büro</t>
        </is>
      </c>
      <c r="D13" s="26" t="inlineStr">
        <is>
          <t>TM</t>
        </is>
      </c>
      <c r="E13" s="28" t="inlineStr">
        <is>
          <t>HO</t>
        </is>
      </c>
      <c r="F13" s="27" t="inlineStr">
        <is>
          <t>Büro</t>
        </is>
      </c>
      <c r="G13" s="26" t="inlineStr">
        <is>
          <t>TM</t>
        </is>
      </c>
      <c r="H13" s="27" t="inlineStr">
        <is>
          <t>Büro</t>
        </is>
      </c>
      <c r="I13" s="25" t="inlineStr">
        <is>
          <t>Frei</t>
        </is>
      </c>
      <c r="J13" s="26" t="inlineStr">
        <is>
          <t>Dom frei</t>
        </is>
      </c>
      <c r="K13" s="27" t="inlineStr">
        <is>
          <t>Büro</t>
        </is>
      </c>
      <c r="L13" s="28" t="inlineStr">
        <is>
          <t>HO</t>
        </is>
      </c>
      <c r="M13" s="26" t="inlineStr">
        <is>
          <t>TM</t>
        </is>
      </c>
      <c r="N13" s="25" t="inlineStr">
        <is>
          <t>Frei</t>
        </is>
      </c>
      <c r="O13" s="25" t="inlineStr">
        <is>
          <t>Frei</t>
        </is>
      </c>
      <c r="P13" s="26" t="inlineStr">
        <is>
          <t>Beide frei</t>
        </is>
      </c>
    </row>
    <row r="14">
      <c r="A14" s="23" t="inlineStr">
        <is>
          <t>11:00</t>
        </is>
      </c>
      <c r="B14" s="28" t="inlineStr">
        <is>
          <t>HO</t>
        </is>
      </c>
      <c r="C14" s="27" t="inlineStr">
        <is>
          <t>Büro</t>
        </is>
      </c>
      <c r="D14" s="26" t="inlineStr">
        <is>
          <t>TM</t>
        </is>
      </c>
      <c r="E14" s="28" t="inlineStr">
        <is>
          <t>HO</t>
        </is>
      </c>
      <c r="F14" s="27" t="inlineStr">
        <is>
          <t>Büro</t>
        </is>
      </c>
      <c r="G14" s="26" t="inlineStr">
        <is>
          <t>TM</t>
        </is>
      </c>
      <c r="H14" s="27" t="inlineStr">
        <is>
          <t>Büro</t>
        </is>
      </c>
      <c r="I14" s="25" t="inlineStr">
        <is>
          <t>Frei</t>
        </is>
      </c>
      <c r="J14" s="26" t="inlineStr">
        <is>
          <t>Dom frei</t>
        </is>
      </c>
      <c r="K14" s="27" t="inlineStr">
        <is>
          <t>Büro</t>
        </is>
      </c>
      <c r="L14" s="28" t="inlineStr">
        <is>
          <t>HO</t>
        </is>
      </c>
      <c r="M14" s="26" t="inlineStr">
        <is>
          <t>TM</t>
        </is>
      </c>
      <c r="N14" s="25" t="inlineStr">
        <is>
          <t>Frei</t>
        </is>
      </c>
      <c r="O14" s="25" t="inlineStr">
        <is>
          <t>Frei</t>
        </is>
      </c>
      <c r="P14" s="26" t="inlineStr">
        <is>
          <t>Beide frei</t>
        </is>
      </c>
    </row>
    <row r="15">
      <c r="A15" s="23" t="inlineStr">
        <is>
          <t>11:30</t>
        </is>
      </c>
      <c r="B15" s="28" t="inlineStr">
        <is>
          <t>HO</t>
        </is>
      </c>
      <c r="C15" s="27" t="inlineStr">
        <is>
          <t>Büro</t>
        </is>
      </c>
      <c r="D15" s="26" t="inlineStr">
        <is>
          <t>TM</t>
        </is>
      </c>
      <c r="E15" s="28" t="inlineStr">
        <is>
          <t>HO</t>
        </is>
      </c>
      <c r="F15" s="27" t="inlineStr">
        <is>
          <t>Büro</t>
        </is>
      </c>
      <c r="G15" s="26" t="inlineStr">
        <is>
          <t>TM</t>
        </is>
      </c>
      <c r="H15" s="27" t="inlineStr">
        <is>
          <t>Büro</t>
        </is>
      </c>
      <c r="I15" s="25" t="inlineStr">
        <is>
          <t>Frei</t>
        </is>
      </c>
      <c r="J15" s="26" t="inlineStr">
        <is>
          <t>Dom frei</t>
        </is>
      </c>
      <c r="K15" s="27" t="inlineStr">
        <is>
          <t>Büro</t>
        </is>
      </c>
      <c r="L15" s="28" t="inlineStr">
        <is>
          <t>HO</t>
        </is>
      </c>
      <c r="M15" s="26" t="inlineStr">
        <is>
          <t>Dom HO</t>
        </is>
      </c>
      <c r="N15" s="25" t="inlineStr">
        <is>
          <t>Frei</t>
        </is>
      </c>
      <c r="O15" s="25" t="inlineStr">
        <is>
          <t>Frei</t>
        </is>
      </c>
      <c r="P15" s="26" t="inlineStr">
        <is>
          <t>Beide frei</t>
        </is>
      </c>
    </row>
    <row r="16">
      <c r="A16" s="23" t="inlineStr">
        <is>
          <t>12:00</t>
        </is>
      </c>
      <c r="B16" s="30" t="inlineStr">
        <is>
          <t>Pause</t>
        </is>
      </c>
      <c r="C16" s="29" t="inlineStr">
        <is>
          <t>Pause</t>
        </is>
      </c>
      <c r="D16" s="26" t="inlineStr">
        <is>
          <t>TM</t>
        </is>
      </c>
      <c r="E16" s="30" t="inlineStr">
        <is>
          <t>Pause</t>
        </is>
      </c>
      <c r="F16" s="29" t="inlineStr">
        <is>
          <t>Pause</t>
        </is>
      </c>
      <c r="G16" s="26" t="inlineStr">
        <is>
          <t>TM</t>
        </is>
      </c>
      <c r="H16" s="29" t="inlineStr">
        <is>
          <t>Pause</t>
        </is>
      </c>
      <c r="I16" s="25" t="inlineStr">
        <is>
          <t>Frei</t>
        </is>
      </c>
      <c r="J16" s="26" t="inlineStr">
        <is>
          <t>Dom frei</t>
        </is>
      </c>
      <c r="K16" s="29" t="inlineStr">
        <is>
          <t>Pause</t>
        </is>
      </c>
      <c r="L16" s="25" t="inlineStr">
        <is>
          <t>Frei</t>
        </is>
      </c>
      <c r="M16" s="26" t="inlineStr">
        <is>
          <t>Dom frei</t>
        </is>
      </c>
      <c r="N16" s="25" t="inlineStr">
        <is>
          <t>Frei</t>
        </is>
      </c>
      <c r="O16" s="25" t="inlineStr">
        <is>
          <t>Frei</t>
        </is>
      </c>
      <c r="P16" s="26" t="inlineStr">
        <is>
          <t>Beide frei</t>
        </is>
      </c>
    </row>
    <row r="17">
      <c r="A17" s="23" t="inlineStr">
        <is>
          <t>12:30</t>
        </is>
      </c>
      <c r="B17" s="28" t="inlineStr">
        <is>
          <t>HO</t>
        </is>
      </c>
      <c r="C17" s="27" t="inlineStr">
        <is>
          <t>Büro</t>
        </is>
      </c>
      <c r="D17" s="26" t="inlineStr">
        <is>
          <t>TM</t>
        </is>
      </c>
      <c r="E17" s="28" t="inlineStr">
        <is>
          <t>HO</t>
        </is>
      </c>
      <c r="F17" s="27" t="inlineStr">
        <is>
          <t>Büro</t>
        </is>
      </c>
      <c r="G17" s="26" t="inlineStr">
        <is>
          <t>TM</t>
        </is>
      </c>
      <c r="H17" s="27" t="inlineStr">
        <is>
          <t>Büro</t>
        </is>
      </c>
      <c r="I17" s="25" t="inlineStr">
        <is>
          <t>Frei</t>
        </is>
      </c>
      <c r="J17" s="26" t="inlineStr">
        <is>
          <t>Dom frei</t>
        </is>
      </c>
      <c r="K17" s="27" t="inlineStr">
        <is>
          <t>Büro</t>
        </is>
      </c>
      <c r="L17" s="25" t="inlineStr">
        <is>
          <t>Frei</t>
        </is>
      </c>
      <c r="M17" s="26" t="inlineStr">
        <is>
          <t>Dom frei</t>
        </is>
      </c>
      <c r="N17" s="25" t="inlineStr">
        <is>
          <t>Frei</t>
        </is>
      </c>
      <c r="O17" s="25" t="inlineStr">
        <is>
          <t>Frei</t>
        </is>
      </c>
      <c r="P17" s="26" t="inlineStr">
        <is>
          <t>Beide frei</t>
        </is>
      </c>
    </row>
    <row r="18">
      <c r="A18" s="23" t="inlineStr">
        <is>
          <t>13:00</t>
        </is>
      </c>
      <c r="B18" s="28" t="inlineStr">
        <is>
          <t>HO</t>
        </is>
      </c>
      <c r="C18" s="27" t="inlineStr">
        <is>
          <t>Büro</t>
        </is>
      </c>
      <c r="D18" s="26" t="inlineStr">
        <is>
          <t>TM</t>
        </is>
      </c>
      <c r="E18" s="28" t="inlineStr">
        <is>
          <t>HO</t>
        </is>
      </c>
      <c r="F18" s="27" t="inlineStr">
        <is>
          <t>Büro</t>
        </is>
      </c>
      <c r="G18" s="26" t="inlineStr">
        <is>
          <t>TM</t>
        </is>
      </c>
      <c r="H18" s="27" t="inlineStr">
        <is>
          <t>Büro</t>
        </is>
      </c>
      <c r="I18" s="25" t="inlineStr">
        <is>
          <t>Frei</t>
        </is>
      </c>
      <c r="J18" s="26" t="inlineStr">
        <is>
          <t>Dom frei</t>
        </is>
      </c>
      <c r="K18" s="27" t="inlineStr">
        <is>
          <t>Büro</t>
        </is>
      </c>
      <c r="L18" s="25" t="inlineStr">
        <is>
          <t>Frei</t>
        </is>
      </c>
      <c r="M18" s="26" t="inlineStr">
        <is>
          <t>Dom frei</t>
        </is>
      </c>
      <c r="N18" s="25" t="inlineStr">
        <is>
          <t>Frei</t>
        </is>
      </c>
      <c r="O18" s="25" t="inlineStr">
        <is>
          <t>Frei</t>
        </is>
      </c>
      <c r="P18" s="26" t="inlineStr">
        <is>
          <t>Beide frei</t>
        </is>
      </c>
    </row>
    <row r="19">
      <c r="A19" s="23" t="inlineStr">
        <is>
          <t>13:30</t>
        </is>
      </c>
      <c r="B19" s="28" t="inlineStr">
        <is>
          <t>HO</t>
        </is>
      </c>
      <c r="C19" s="27" t="inlineStr">
        <is>
          <t>Büro</t>
        </is>
      </c>
      <c r="D19" s="26" t="inlineStr">
        <is>
          <t>TM</t>
        </is>
      </c>
      <c r="E19" s="28" t="inlineStr">
        <is>
          <t>HO</t>
        </is>
      </c>
      <c r="F19" s="27" t="inlineStr">
        <is>
          <t>Büro</t>
        </is>
      </c>
      <c r="G19" s="26" t="inlineStr">
        <is>
          <t>TM</t>
        </is>
      </c>
      <c r="H19" s="27" t="inlineStr">
        <is>
          <t>Büro</t>
        </is>
      </c>
      <c r="I19" s="25" t="inlineStr">
        <is>
          <t>Frei</t>
        </is>
      </c>
      <c r="J19" s="26" t="inlineStr">
        <is>
          <t>Dom frei</t>
        </is>
      </c>
      <c r="K19" s="27" t="inlineStr">
        <is>
          <t>Büro</t>
        </is>
      </c>
      <c r="L19" s="25" t="inlineStr">
        <is>
          <t>Frei</t>
        </is>
      </c>
      <c r="M19" s="26" t="inlineStr">
        <is>
          <t>Dom frei</t>
        </is>
      </c>
      <c r="N19" s="25" t="inlineStr">
        <is>
          <t>Frei</t>
        </is>
      </c>
      <c r="O19" s="25" t="inlineStr">
        <is>
          <t>Frei</t>
        </is>
      </c>
      <c r="P19" s="26" t="inlineStr">
        <is>
          <t>Beide frei</t>
        </is>
      </c>
    </row>
    <row r="20">
      <c r="A20" s="23" t="inlineStr">
        <is>
          <t>14:00</t>
        </is>
      </c>
      <c r="B20" s="28" t="inlineStr">
        <is>
          <t>HO</t>
        </is>
      </c>
      <c r="C20" s="27" t="inlineStr">
        <is>
          <t>Büro</t>
        </is>
      </c>
      <c r="D20" s="26" t="inlineStr">
        <is>
          <t>TM</t>
        </is>
      </c>
      <c r="E20" s="28" t="inlineStr">
        <is>
          <t>HO</t>
        </is>
      </c>
      <c r="F20" s="27" t="inlineStr">
        <is>
          <t>Büro</t>
        </is>
      </c>
      <c r="G20" s="26" t="inlineStr">
        <is>
          <t>TM</t>
        </is>
      </c>
      <c r="H20" s="27" t="inlineStr">
        <is>
          <t>Büro</t>
        </is>
      </c>
      <c r="I20" s="25" t="inlineStr">
        <is>
          <t>Frei</t>
        </is>
      </c>
      <c r="J20" s="26" t="inlineStr">
        <is>
          <t>Dom frei</t>
        </is>
      </c>
      <c r="K20" s="27" t="inlineStr">
        <is>
          <t>Büro</t>
        </is>
      </c>
      <c r="L20" s="25" t="inlineStr">
        <is>
          <t>Frei</t>
        </is>
      </c>
      <c r="M20" s="26" t="inlineStr">
        <is>
          <t>Dom frei</t>
        </is>
      </c>
      <c r="N20" s="25" t="inlineStr">
        <is>
          <t>Frei</t>
        </is>
      </c>
      <c r="O20" s="25" t="inlineStr">
        <is>
          <t>Frei</t>
        </is>
      </c>
      <c r="P20" s="26" t="inlineStr">
        <is>
          <t>Beide frei</t>
        </is>
      </c>
    </row>
    <row r="21">
      <c r="A21" s="23" t="inlineStr">
        <is>
          <t>14:30</t>
        </is>
      </c>
      <c r="B21" s="28" t="inlineStr">
        <is>
          <t>HO</t>
        </is>
      </c>
      <c r="C21" s="27" t="inlineStr">
        <is>
          <t>Büro</t>
        </is>
      </c>
      <c r="D21" s="26" t="inlineStr">
        <is>
          <t>TM</t>
        </is>
      </c>
      <c r="E21" s="28" t="inlineStr">
        <is>
          <t>HO</t>
        </is>
      </c>
      <c r="F21" s="27" t="inlineStr">
        <is>
          <t>Büro</t>
        </is>
      </c>
      <c r="G21" s="26" t="inlineStr">
        <is>
          <t>TM</t>
        </is>
      </c>
      <c r="H21" s="27" t="inlineStr">
        <is>
          <t>Büro</t>
        </is>
      </c>
      <c r="I21" s="25" t="inlineStr">
        <is>
          <t>Frei</t>
        </is>
      </c>
      <c r="J21" s="26" t="inlineStr">
        <is>
          <t>Dom frei</t>
        </is>
      </c>
      <c r="K21" s="27" t="inlineStr">
        <is>
          <t>Büro</t>
        </is>
      </c>
      <c r="L21" s="25" t="inlineStr">
        <is>
          <t>Frei</t>
        </is>
      </c>
      <c r="M21" s="26" t="inlineStr">
        <is>
          <t>Dom frei</t>
        </is>
      </c>
      <c r="N21" s="25" t="inlineStr">
        <is>
          <t>Frei</t>
        </is>
      </c>
      <c r="O21" s="25" t="inlineStr">
        <is>
          <t>Frei</t>
        </is>
      </c>
      <c r="P21" s="26" t="inlineStr">
        <is>
          <t>Beide frei</t>
        </is>
      </c>
    </row>
    <row r="22">
      <c r="A22" s="23" t="inlineStr">
        <is>
          <t>15:00</t>
        </is>
      </c>
      <c r="B22" s="28" t="inlineStr">
        <is>
          <t>HO</t>
        </is>
      </c>
      <c r="C22" s="27" t="inlineStr">
        <is>
          <t>Büro</t>
        </is>
      </c>
      <c r="D22" s="26" t="inlineStr">
        <is>
          <t>TM</t>
        </is>
      </c>
      <c r="E22" s="28" t="inlineStr">
        <is>
          <t>HO</t>
        </is>
      </c>
      <c r="F22" s="27" t="inlineStr">
        <is>
          <t>Büro</t>
        </is>
      </c>
      <c r="G22" s="26" t="inlineStr">
        <is>
          <t>TM</t>
        </is>
      </c>
      <c r="H22" s="27" t="inlineStr">
        <is>
          <t>Büro</t>
        </is>
      </c>
      <c r="I22" s="25" t="inlineStr">
        <is>
          <t>Frei</t>
        </is>
      </c>
      <c r="J22" s="26" t="inlineStr">
        <is>
          <t>Dom frei</t>
        </is>
      </c>
      <c r="K22" s="27" t="inlineStr">
        <is>
          <t>Büro</t>
        </is>
      </c>
      <c r="L22" s="25" t="inlineStr">
        <is>
          <t>Frei</t>
        </is>
      </c>
      <c r="M22" s="26" t="inlineStr">
        <is>
          <t>Dom frei</t>
        </is>
      </c>
      <c r="N22" s="25" t="inlineStr">
        <is>
          <t>Frei</t>
        </is>
      </c>
      <c r="O22" s="25" t="inlineStr">
        <is>
          <t>Frei</t>
        </is>
      </c>
      <c r="P22" s="26" t="inlineStr">
        <is>
          <t>Beide frei</t>
        </is>
      </c>
    </row>
    <row r="23">
      <c r="A23" s="23" t="inlineStr">
        <is>
          <t>15:30</t>
        </is>
      </c>
      <c r="B23" s="28" t="inlineStr">
        <is>
          <t>HO</t>
        </is>
      </c>
      <c r="C23" s="27" t="inlineStr">
        <is>
          <t>Büro</t>
        </is>
      </c>
      <c r="D23" s="26" t="inlineStr">
        <is>
          <t>Paul HO</t>
        </is>
      </c>
      <c r="E23" s="28" t="inlineStr">
        <is>
          <t>HO</t>
        </is>
      </c>
      <c r="F23" s="27" t="inlineStr">
        <is>
          <t>Büro</t>
        </is>
      </c>
      <c r="G23" s="26" t="inlineStr">
        <is>
          <t>Paul HO</t>
        </is>
      </c>
      <c r="H23" s="27" t="inlineStr">
        <is>
          <t>Büro</t>
        </is>
      </c>
      <c r="I23" s="25" t="inlineStr">
        <is>
          <t>Frei</t>
        </is>
      </c>
      <c r="J23" s="26" t="inlineStr">
        <is>
          <t>Dom frei</t>
        </is>
      </c>
      <c r="K23" s="27" t="inlineStr">
        <is>
          <t>Büro</t>
        </is>
      </c>
      <c r="L23" s="25" t="inlineStr">
        <is>
          <t>Frei</t>
        </is>
      </c>
      <c r="M23" s="26" t="inlineStr">
        <is>
          <t>Dom frei</t>
        </is>
      </c>
      <c r="N23" s="25" t="inlineStr">
        <is>
          <t>Frei</t>
        </is>
      </c>
      <c r="O23" s="25" t="inlineStr">
        <is>
          <t>Frei</t>
        </is>
      </c>
      <c r="P23" s="26" t="inlineStr">
        <is>
          <t>Beide frei</t>
        </is>
      </c>
    </row>
    <row r="24">
      <c r="A24" s="23" t="inlineStr">
        <is>
          <t>16:00</t>
        </is>
      </c>
      <c r="B24" s="28" t="inlineStr">
        <is>
          <t>HO</t>
        </is>
      </c>
      <c r="C24" s="27" t="inlineStr">
        <is>
          <t>Büro</t>
        </is>
      </c>
      <c r="D24" s="26" t="inlineStr">
        <is>
          <t>Paul HO</t>
        </is>
      </c>
      <c r="E24" s="28" t="inlineStr">
        <is>
          <t>HO</t>
        </is>
      </c>
      <c r="F24" s="27" t="inlineStr">
        <is>
          <t>Büro</t>
        </is>
      </c>
      <c r="G24" s="26" t="inlineStr">
        <is>
          <t>Paul HO</t>
        </is>
      </c>
      <c r="H24" s="27" t="inlineStr">
        <is>
          <t>Büro</t>
        </is>
      </c>
      <c r="I24" s="25" t="inlineStr">
        <is>
          <t>Frei</t>
        </is>
      </c>
      <c r="J24" s="26" t="inlineStr">
        <is>
          <t>Dom frei</t>
        </is>
      </c>
      <c r="K24" s="27" t="inlineStr">
        <is>
          <t>Büro</t>
        </is>
      </c>
      <c r="L24" s="25" t="inlineStr">
        <is>
          <t>Frei</t>
        </is>
      </c>
      <c r="M24" s="26" t="inlineStr">
        <is>
          <t>Dom frei</t>
        </is>
      </c>
      <c r="N24" s="25" t="inlineStr">
        <is>
          <t>Frei</t>
        </is>
      </c>
      <c r="O24" s="25" t="inlineStr">
        <is>
          <t>Frei</t>
        </is>
      </c>
      <c r="P24" s="26" t="inlineStr">
        <is>
          <t>Beide frei</t>
        </is>
      </c>
    </row>
    <row r="25">
      <c r="A25" s="23" t="inlineStr">
        <is>
          <t>16:30</t>
        </is>
      </c>
      <c r="B25" s="28" t="inlineStr">
        <is>
          <t>HO</t>
        </is>
      </c>
      <c r="C25" s="24" t="inlineStr">
        <is>
          <t>→Home</t>
        </is>
      </c>
      <c r="D25" s="26" t="inlineStr">
        <is>
          <t>Paul HO</t>
        </is>
      </c>
      <c r="E25" s="28" t="inlineStr">
        <is>
          <t>HO</t>
        </is>
      </c>
      <c r="F25" s="24" t="inlineStr">
        <is>
          <t>→Home</t>
        </is>
      </c>
      <c r="G25" s="26" t="inlineStr">
        <is>
          <t>Paul HO</t>
        </is>
      </c>
      <c r="H25" s="27" t="inlineStr">
        <is>
          <t>Büro</t>
        </is>
      </c>
      <c r="I25" s="25" t="inlineStr">
        <is>
          <t>Frei</t>
        </is>
      </c>
      <c r="J25" s="26" t="inlineStr">
        <is>
          <t>Dom frei</t>
        </is>
      </c>
      <c r="K25" s="24" t="inlineStr">
        <is>
          <t>→Home</t>
        </is>
      </c>
      <c r="L25" s="25" t="inlineStr">
        <is>
          <t>Frei</t>
        </is>
      </c>
      <c r="M25" s="26" t="inlineStr">
        <is>
          <t>Dom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8" t="inlineStr">
        <is>
          <t>HO</t>
        </is>
      </c>
      <c r="C26" s="25" t="inlineStr">
        <is>
          <t>Frei</t>
        </is>
      </c>
      <c r="D26" s="26" t="inlineStr">
        <is>
          <t>P:HO D:frei</t>
        </is>
      </c>
      <c r="E26" s="28" t="inlineStr">
        <is>
          <t>HO</t>
        </is>
      </c>
      <c r="F26" s="25" t="inlineStr">
        <is>
          <t>Frei</t>
        </is>
      </c>
      <c r="G26" s="26" t="inlineStr">
        <is>
          <t>P:HO D:frei</t>
        </is>
      </c>
      <c r="H26" s="27" t="inlineStr">
        <is>
          <t>Büro</t>
        </is>
      </c>
      <c r="I26" s="25" t="inlineStr">
        <is>
          <t>Frei</t>
        </is>
      </c>
      <c r="J26" s="26" t="inlineStr">
        <is>
          <t>Dom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7">
      <c r="A27" s="23" t="inlineStr">
        <is>
          <t>17:30</t>
        </is>
      </c>
      <c r="B27" s="25" t="inlineStr">
        <is>
          <t>Frei</t>
        </is>
      </c>
      <c r="C27" s="25" t="inlineStr">
        <is>
          <t>Frei</t>
        </is>
      </c>
      <c r="D27" s="26" t="inlineStr">
        <is>
          <t>Beide frei</t>
        </is>
      </c>
      <c r="E27" s="25" t="inlineStr">
        <is>
          <t>Frei</t>
        </is>
      </c>
      <c r="F27" s="25" t="inlineStr">
        <is>
          <t>Frei</t>
        </is>
      </c>
      <c r="G27" s="26" t="inlineStr">
        <is>
          <t>Beide frei</t>
        </is>
      </c>
      <c r="H27" s="24" t="inlineStr">
        <is>
          <t>→Home</t>
        </is>
      </c>
      <c r="I27" s="25" t="inlineStr">
        <is>
          <t>Frei</t>
        </is>
      </c>
      <c r="J27" s="26" t="inlineStr">
        <is>
          <t>Dom frei</t>
        </is>
      </c>
      <c r="K27" s="25" t="inlineStr">
        <is>
          <t>Frei</t>
        </is>
      </c>
      <c r="L27" s="25" t="inlineStr">
        <is>
          <t>Frei</t>
        </is>
      </c>
      <c r="M27" s="26" t="inlineStr">
        <is>
          <t>Beide frei</t>
        </is>
      </c>
      <c r="N27" s="25" t="inlineStr">
        <is>
          <t>Frei</t>
        </is>
      </c>
      <c r="O27" s="25" t="inlineStr">
        <is>
          <t>Frei</t>
        </is>
      </c>
      <c r="P27" s="26" t="inlineStr">
        <is>
          <t>Beide frei</t>
        </is>
      </c>
    </row>
    <row r="29">
      <c r="A29" s="3" t="inlineStr">
        <is>
          <t>Einkommen &amp; Kosten</t>
        </is>
      </c>
    </row>
    <row r="30">
      <c r="A30" s="31" t="inlineStr"/>
      <c r="B30" s="31" t="inlineStr">
        <is>
          <t>Wochenstd.</t>
        </is>
      </c>
      <c r="C30" s="31" t="inlineStr">
        <is>
          <t>Vollzeit Brutto/J</t>
        </is>
      </c>
      <c r="D30" s="31" t="inlineStr">
        <is>
          <t>Anteil</t>
        </is>
      </c>
      <c r="E30" s="31" t="inlineStr">
        <is>
          <t>Brutto/Mon</t>
        </is>
      </c>
      <c r="F30" s="31" t="inlineStr">
        <is>
          <t>Brutto/Jahr</t>
        </is>
      </c>
      <c r="G30" s="31" t="inlineStr">
        <is>
          <t>Netto/Mon (≈)</t>
        </is>
      </c>
      <c r="H30" s="31" t="inlineStr">
        <is>
          <t>Netto/Jahr (≈)</t>
        </is>
      </c>
    </row>
    <row r="31">
      <c r="A31" s="32" t="inlineStr">
        <is>
          <t>Paul</t>
        </is>
      </c>
      <c r="B31" s="33" t="n">
        <v>35</v>
      </c>
      <c r="C31" s="34" t="n">
        <v>96000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2" t="inlineStr">
        <is>
          <t>Dominique</t>
        </is>
      </c>
      <c r="B32" s="33" t="n">
        <v>20</v>
      </c>
      <c r="C32" s="34" t="n">
        <v>84000</v>
      </c>
      <c r="D32" s="35">
        <f>B32/40</f>
        <v/>
      </c>
      <c r="E32" s="34">
        <f>C32*D32/12</f>
        <v/>
      </c>
      <c r="F32" s="34">
        <f>C32*D32</f>
        <v/>
      </c>
      <c r="G32" s="34">
        <f>IF(E32&gt;=8000,E32*0.6,IF(E32&gt;=7000,E32*0.61,IF(E32&gt;=6000,E32*0.62,IF(E32&gt;=5000,E32*0.64,IF(E32&gt;=4000,E32*0.66,IF(E32&gt;=3000,E32*0.68,E32*0.70))))))</f>
        <v/>
      </c>
      <c r="H32" s="34">
        <f>G32*12</f>
        <v/>
      </c>
    </row>
    <row r="33">
      <c r="A33" s="36" t="inlineStr">
        <is>
          <t>Haushalt gesamt</t>
        </is>
      </c>
      <c r="B33" s="37">
        <f>B31+B32</f>
        <v/>
      </c>
      <c r="C33" s="36" t="n"/>
      <c r="D33" s="36" t="n"/>
      <c r="E33" s="38">
        <f>E31+E32</f>
        <v/>
      </c>
      <c r="F33" s="38">
        <f>F31+F32</f>
        <v/>
      </c>
      <c r="G33" s="38">
        <f>G31+G32</f>
        <v/>
      </c>
      <c r="H33" s="38">
        <f>H31+H32</f>
        <v/>
      </c>
    </row>
    <row r="35">
      <c r="A35" s="7" t="inlineStr">
        <is>
          <t>Haushaltseinkommen lt. Satzung (Brutto -30%)</t>
        </is>
      </c>
      <c r="B35" s="39">
        <f>F33*0.7</f>
        <v/>
      </c>
    </row>
    <row r="36">
      <c r="A36" s="7" t="inlineStr">
        <is>
          <t>Tagesmutter-Kosten/Monat (Gruppe V, 20-24h)</t>
        </is>
      </c>
      <c r="B36" s="41" t="n">
        <v>254</v>
      </c>
    </row>
    <row r="37">
      <c r="A37" s="7" t="inlineStr">
        <is>
          <t>Netto-Haushalt nach TM-Kosten / Monat</t>
        </is>
      </c>
      <c r="B37" s="40">
        <f>G33-B36</f>
        <v/>
      </c>
    </row>
    <row r="39">
      <c r="A39" s="9" t="inlineStr">
        <is>
          <t>Netto-Schätzung: Steuerklasse IV/IV, verheiratet, 1 Kind, 2026 (Quelle: brutto-netto-rechner.info Näherung).</t>
        </is>
      </c>
    </row>
    <row r="40">
      <c r="A40" s="9" t="inlineStr">
        <is>
          <t>→ TM: 3 Tage. 20.0h/Woche. Gruppe V (Haushalt -30% = 88.200 €)</t>
        </is>
      </c>
    </row>
    <row r="43">
      <c r="A43" s="7" t="inlineStr">
        <is>
          <t>Legende:</t>
        </is>
      </c>
    </row>
    <row r="44">
      <c r="A44" s="8" t="inlineStr"/>
      <c r="B44" s="9" t="inlineStr">
        <is>
          <t>Büro</t>
        </is>
      </c>
    </row>
    <row r="45">
      <c r="A45" s="10" t="inlineStr"/>
      <c r="B45" s="9" t="inlineStr">
        <is>
          <t>Homeoffice (HO) – ca. 50% Eigen-Betreuung möglich</t>
        </is>
      </c>
    </row>
    <row r="46">
      <c r="A46" s="11" t="inlineStr"/>
      <c r="B46" s="9" t="inlineStr">
        <is>
          <t>Pendeln (→Büro / →Home)</t>
        </is>
      </c>
    </row>
    <row r="47">
      <c r="A47" s="12" t="inlineStr"/>
      <c r="B47" s="9" t="inlineStr">
        <is>
          <t>Pause @ Büro (unbezahlt)</t>
        </is>
      </c>
    </row>
    <row r="48">
      <c r="A48" s="13" t="inlineStr"/>
      <c r="B48" s="9" t="inlineStr">
        <is>
          <t>Pause @ Zuhause (unbezahlt)</t>
        </is>
      </c>
    </row>
    <row r="49">
      <c r="A49" s="14" t="inlineStr"/>
      <c r="B49" s="9" t="inlineStr">
        <is>
          <t>Tagesmutter</t>
        </is>
      </c>
    </row>
    <row r="50">
      <c r="A50" s="15" t="inlineStr"/>
      <c r="B50" s="9" t="inlineStr">
        <is>
          <t>Frei / Eltern-Betreuung</t>
        </is>
      </c>
    </row>
    <row r="51">
      <c r="A51" s="16" t="inlineStr"/>
      <c r="B51" s="9" t="inlineStr">
        <is>
          <t>Niklas: betreut</t>
        </is>
      </c>
    </row>
    <row r="52">
      <c r="A52" s="17" t="inlineStr"/>
      <c r="B52" s="9" t="inlineStr">
        <is>
          <t>Niklas: LÜCKE</t>
        </is>
      </c>
    </row>
  </sheetData>
  <mergeCells count="19"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  <mergeCell ref="A1:P1"/>
    <mergeCell ref="H5:J5"/>
    <mergeCell ref="B52:E52"/>
    <mergeCell ref="B48:E48"/>
    <mergeCell ref="A29:H29"/>
    <mergeCell ref="E5:G5"/>
    <mergeCell ref="K5:M5"/>
    <mergeCell ref="B44:E44"/>
    <mergeCell ref="A2:P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8" t="inlineStr">
        <is>
          <t>V11 – Tagesmutter Mo/Di (16h) + Paul 35h auf 4 Tage + Dominique 20h</t>
        </is>
      </c>
    </row>
    <row r="2">
      <c r="A2" s="9" t="inlineStr">
        <is>
          <t>Paul/Dom wie V10. TM nur Mo/Di je 8h = 16h. Donnerstag: keine TM, Paul Office, Dom HO 4h – Dom betreut.</t>
        </is>
      </c>
    </row>
    <row r="4">
      <c r="A4" s="19" t="inlineStr">
        <is>
          <t>Wochenplan (07:30–18:00) – Paul / Dom / Niklas-Kontrolle</t>
        </is>
      </c>
    </row>
    <row r="5">
      <c r="A5" s="20" t="inlineStr">
        <is>
          <t>Zeit</t>
        </is>
      </c>
      <c r="B5" s="20" t="inlineStr">
        <is>
          <t>Montag</t>
        </is>
      </c>
      <c r="E5" s="20" t="inlineStr">
        <is>
          <t>Dienstag</t>
        </is>
      </c>
      <c r="H5" s="20" t="inlineStr">
        <is>
          <t>Mittwoch</t>
        </is>
      </c>
      <c r="K5" s="20" t="inlineStr">
        <is>
          <t>Donnerstag</t>
        </is>
      </c>
      <c r="N5" s="20" t="inlineStr">
        <is>
          <t>Freitag</t>
        </is>
      </c>
    </row>
    <row r="6">
      <c r="A6" s="21" t="inlineStr"/>
      <c r="B6" s="22" t="inlineStr">
        <is>
          <t>Paul</t>
        </is>
      </c>
      <c r="C6" s="22" t="inlineStr">
        <is>
          <t>Dom</t>
        </is>
      </c>
      <c r="D6" s="22" t="inlineStr">
        <is>
          <t>Niklas</t>
        </is>
      </c>
      <c r="E6" s="22" t="inlineStr">
        <is>
          <t>Paul</t>
        </is>
      </c>
      <c r="F6" s="22" t="inlineStr">
        <is>
          <t>Dom</t>
        </is>
      </c>
      <c r="G6" s="22" t="inlineStr">
        <is>
          <t>Niklas</t>
        </is>
      </c>
      <c r="H6" s="22" t="inlineStr">
        <is>
          <t>Paul</t>
        </is>
      </c>
      <c r="I6" s="22" t="inlineStr">
        <is>
          <t>Dom</t>
        </is>
      </c>
      <c r="J6" s="22" t="inlineStr">
        <is>
          <t>Niklas</t>
        </is>
      </c>
      <c r="K6" s="22" t="inlineStr">
        <is>
          <t>Paul</t>
        </is>
      </c>
      <c r="L6" s="22" t="inlineStr">
        <is>
          <t>Dom</t>
        </is>
      </c>
      <c r="M6" s="22" t="inlineStr">
        <is>
          <t>Niklas</t>
        </is>
      </c>
      <c r="N6" s="22" t="inlineStr">
        <is>
          <t>Paul</t>
        </is>
      </c>
      <c r="O6" s="22" t="inlineStr">
        <is>
          <t>Dom</t>
        </is>
      </c>
      <c r="P6" s="22" t="inlineStr">
        <is>
          <t>Niklas</t>
        </is>
      </c>
    </row>
    <row r="7">
      <c r="A7" s="23" t="inlineStr">
        <is>
          <t>07:30</t>
        </is>
      </c>
      <c r="B7" s="25" t="inlineStr">
        <is>
          <t>Frei</t>
        </is>
      </c>
      <c r="C7" s="24" t="inlineStr">
        <is>
          <t>→Büro</t>
        </is>
      </c>
      <c r="D7" s="26" t="inlineStr">
        <is>
          <t>TM</t>
        </is>
      </c>
      <c r="E7" s="25" t="inlineStr">
        <is>
          <t>Frei</t>
        </is>
      </c>
      <c r="F7" s="24" t="inlineStr">
        <is>
          <t>→Büro</t>
        </is>
      </c>
      <c r="G7" s="26" t="inlineStr">
        <is>
          <t>TM</t>
        </is>
      </c>
      <c r="H7" s="24" t="inlineStr">
        <is>
          <t>→Büro</t>
        </is>
      </c>
      <c r="I7" s="25" t="inlineStr">
        <is>
          <t>Frei</t>
        </is>
      </c>
      <c r="J7" s="26" t="inlineStr">
        <is>
          <t>Dom frei</t>
        </is>
      </c>
      <c r="K7" s="24" t="inlineStr">
        <is>
          <t>→Büro</t>
        </is>
      </c>
      <c r="L7" s="25" t="inlineStr">
        <is>
          <t>Frei</t>
        </is>
      </c>
      <c r="M7" s="26" t="inlineStr">
        <is>
          <t>Dom frei</t>
        </is>
      </c>
      <c r="N7" s="25" t="inlineStr">
        <is>
          <t>Frei</t>
        </is>
      </c>
      <c r="O7" s="25" t="inlineStr">
        <is>
          <t>Frei</t>
        </is>
      </c>
      <c r="P7" s="26" t="inlineStr">
        <is>
          <t>Beide frei</t>
        </is>
      </c>
    </row>
    <row r="8">
      <c r="A8" s="23" t="inlineStr">
        <is>
          <t>08:00</t>
        </is>
      </c>
      <c r="B8" s="28" t="inlineStr">
        <is>
          <t>HO</t>
        </is>
      </c>
      <c r="C8" s="27" t="inlineStr">
        <is>
          <t>Büro</t>
        </is>
      </c>
      <c r="D8" s="26" t="inlineStr">
        <is>
          <t>TM</t>
        </is>
      </c>
      <c r="E8" s="28" t="inlineStr">
        <is>
          <t>HO</t>
        </is>
      </c>
      <c r="F8" s="27" t="inlineStr">
        <is>
          <t>Büro</t>
        </is>
      </c>
      <c r="G8" s="26" t="inlineStr">
        <is>
          <t>TM</t>
        </is>
      </c>
      <c r="H8" s="27" t="inlineStr">
        <is>
          <t>Büro</t>
        </is>
      </c>
      <c r="I8" s="25" t="inlineStr">
        <is>
          <t>Frei</t>
        </is>
      </c>
      <c r="J8" s="26" t="inlineStr">
        <is>
          <t>Dom frei</t>
        </is>
      </c>
      <c r="K8" s="27" t="inlineStr">
        <is>
          <t>Büro</t>
        </is>
      </c>
      <c r="L8" s="28" t="inlineStr">
        <is>
          <t>HO</t>
        </is>
      </c>
      <c r="M8" s="26" t="inlineStr">
        <is>
          <t>Dom HO</t>
        </is>
      </c>
      <c r="N8" s="25" t="inlineStr">
        <is>
          <t>Frei</t>
        </is>
      </c>
      <c r="O8" s="25" t="inlineStr">
        <is>
          <t>Frei</t>
        </is>
      </c>
      <c r="P8" s="26" t="inlineStr">
        <is>
          <t>Beide frei</t>
        </is>
      </c>
    </row>
    <row r="9">
      <c r="A9" s="23" t="inlineStr">
        <is>
          <t>08:30</t>
        </is>
      </c>
      <c r="B9" s="28" t="inlineStr">
        <is>
          <t>HO</t>
        </is>
      </c>
      <c r="C9" s="27" t="inlineStr">
        <is>
          <t>Büro</t>
        </is>
      </c>
      <c r="D9" s="26" t="inlineStr">
        <is>
          <t>TM</t>
        </is>
      </c>
      <c r="E9" s="28" t="inlineStr">
        <is>
          <t>HO</t>
        </is>
      </c>
      <c r="F9" s="27" t="inlineStr">
        <is>
          <t>Büro</t>
        </is>
      </c>
      <c r="G9" s="26" t="inlineStr">
        <is>
          <t>TM</t>
        </is>
      </c>
      <c r="H9" s="27" t="inlineStr">
        <is>
          <t>Büro</t>
        </is>
      </c>
      <c r="I9" s="25" t="inlineStr">
        <is>
          <t>Frei</t>
        </is>
      </c>
      <c r="J9" s="26" t="inlineStr">
        <is>
          <t>Dom frei</t>
        </is>
      </c>
      <c r="K9" s="27" t="inlineStr">
        <is>
          <t>Büro</t>
        </is>
      </c>
      <c r="L9" s="28" t="inlineStr">
        <is>
          <t>HO</t>
        </is>
      </c>
      <c r="M9" s="26" t="inlineStr">
        <is>
          <t>Dom HO</t>
        </is>
      </c>
      <c r="N9" s="25" t="inlineStr">
        <is>
          <t>Frei</t>
        </is>
      </c>
      <c r="O9" s="25" t="inlineStr">
        <is>
          <t>Frei</t>
        </is>
      </c>
      <c r="P9" s="26" t="inlineStr">
        <is>
          <t>Beide frei</t>
        </is>
      </c>
    </row>
    <row r="10">
      <c r="A10" s="23" t="inlineStr">
        <is>
          <t>09:00</t>
        </is>
      </c>
      <c r="B10" s="28" t="inlineStr">
        <is>
          <t>HO</t>
        </is>
      </c>
      <c r="C10" s="27" t="inlineStr">
        <is>
          <t>Büro</t>
        </is>
      </c>
      <c r="D10" s="26" t="inlineStr">
        <is>
          <t>TM</t>
        </is>
      </c>
      <c r="E10" s="28" t="inlineStr">
        <is>
          <t>HO</t>
        </is>
      </c>
      <c r="F10" s="27" t="inlineStr">
        <is>
          <t>Büro</t>
        </is>
      </c>
      <c r="G10" s="26" t="inlineStr">
        <is>
          <t>TM</t>
        </is>
      </c>
      <c r="H10" s="27" t="inlineStr">
        <is>
          <t>Büro</t>
        </is>
      </c>
      <c r="I10" s="25" t="inlineStr">
        <is>
          <t>Frei</t>
        </is>
      </c>
      <c r="J10" s="26" t="inlineStr">
        <is>
          <t>Dom frei</t>
        </is>
      </c>
      <c r="K10" s="27" t="inlineStr">
        <is>
          <t>Büro</t>
        </is>
      </c>
      <c r="L10" s="28" t="inlineStr">
        <is>
          <t>HO</t>
        </is>
      </c>
      <c r="M10" s="26" t="inlineStr">
        <is>
          <t>Dom HO</t>
        </is>
      </c>
      <c r="N10" s="25" t="inlineStr">
        <is>
          <t>Frei</t>
        </is>
      </c>
      <c r="O10" s="25" t="inlineStr">
        <is>
          <t>Frei</t>
        </is>
      </c>
      <c r="P10" s="26" t="inlineStr">
        <is>
          <t>Beide frei</t>
        </is>
      </c>
    </row>
    <row r="11">
      <c r="A11" s="23" t="inlineStr">
        <is>
          <t>09:30</t>
        </is>
      </c>
      <c r="B11" s="28" t="inlineStr">
        <is>
          <t>HO</t>
        </is>
      </c>
      <c r="C11" s="27" t="inlineStr">
        <is>
          <t>Büro</t>
        </is>
      </c>
      <c r="D11" s="26" t="inlineStr">
        <is>
          <t>TM</t>
        </is>
      </c>
      <c r="E11" s="28" t="inlineStr">
        <is>
          <t>HO</t>
        </is>
      </c>
      <c r="F11" s="27" t="inlineStr">
        <is>
          <t>Büro</t>
        </is>
      </c>
      <c r="G11" s="26" t="inlineStr">
        <is>
          <t>TM</t>
        </is>
      </c>
      <c r="H11" s="27" t="inlineStr">
        <is>
          <t>Büro</t>
        </is>
      </c>
      <c r="I11" s="25" t="inlineStr">
        <is>
          <t>Frei</t>
        </is>
      </c>
      <c r="J11" s="26" t="inlineStr">
        <is>
          <t>Dom frei</t>
        </is>
      </c>
      <c r="K11" s="27" t="inlineStr">
        <is>
          <t>Büro</t>
        </is>
      </c>
      <c r="L11" s="28" t="inlineStr">
        <is>
          <t>HO</t>
        </is>
      </c>
      <c r="M11" s="26" t="inlineStr">
        <is>
          <t>Dom HO</t>
        </is>
      </c>
      <c r="N11" s="25" t="inlineStr">
        <is>
          <t>Frei</t>
        </is>
      </c>
      <c r="O11" s="25" t="inlineStr">
        <is>
          <t>Frei</t>
        </is>
      </c>
      <c r="P11" s="26" t="inlineStr">
        <is>
          <t>Beide frei</t>
        </is>
      </c>
    </row>
    <row r="12">
      <c r="A12" s="23" t="inlineStr">
        <is>
          <t>10:00</t>
        </is>
      </c>
      <c r="B12" s="28" t="inlineStr">
        <is>
          <t>HO</t>
        </is>
      </c>
      <c r="C12" s="27" t="inlineStr">
        <is>
          <t>Büro</t>
        </is>
      </c>
      <c r="D12" s="26" t="inlineStr">
        <is>
          <t>TM</t>
        </is>
      </c>
      <c r="E12" s="28" t="inlineStr">
        <is>
          <t>HO</t>
        </is>
      </c>
      <c r="F12" s="27" t="inlineStr">
        <is>
          <t>Büro</t>
        </is>
      </c>
      <c r="G12" s="26" t="inlineStr">
        <is>
          <t>TM</t>
        </is>
      </c>
      <c r="H12" s="27" t="inlineStr">
        <is>
          <t>Büro</t>
        </is>
      </c>
      <c r="I12" s="25" t="inlineStr">
        <is>
          <t>Frei</t>
        </is>
      </c>
      <c r="J12" s="26" t="inlineStr">
        <is>
          <t>Dom frei</t>
        </is>
      </c>
      <c r="K12" s="27" t="inlineStr">
        <is>
          <t>Büro</t>
        </is>
      </c>
      <c r="L12" s="28" t="inlineStr">
        <is>
          <t>HO</t>
        </is>
      </c>
      <c r="M12" s="26" t="inlineStr">
        <is>
          <t>Dom HO</t>
        </is>
      </c>
      <c r="N12" s="25" t="inlineStr">
        <is>
          <t>Frei</t>
        </is>
      </c>
      <c r="O12" s="25" t="inlineStr">
        <is>
          <t>Frei</t>
        </is>
      </c>
      <c r="P12" s="26" t="inlineStr">
        <is>
          <t>Beide frei</t>
        </is>
      </c>
    </row>
    <row r="13">
      <c r="A13" s="23" t="inlineStr">
        <is>
          <t>10:30</t>
        </is>
      </c>
      <c r="B13" s="28" t="inlineStr">
        <is>
          <t>HO</t>
        </is>
      </c>
      <c r="C13" s="27" t="inlineStr">
        <is>
          <t>Büro</t>
        </is>
      </c>
      <c r="D13" s="26" t="inlineStr">
        <is>
          <t>TM</t>
        </is>
      </c>
      <c r="E13" s="28" t="inlineStr">
        <is>
          <t>HO</t>
        </is>
      </c>
      <c r="F13" s="27" t="inlineStr">
        <is>
          <t>Büro</t>
        </is>
      </c>
      <c r="G13" s="26" t="inlineStr">
        <is>
          <t>TM</t>
        </is>
      </c>
      <c r="H13" s="27" t="inlineStr">
        <is>
          <t>Büro</t>
        </is>
      </c>
      <c r="I13" s="25" t="inlineStr">
        <is>
          <t>Frei</t>
        </is>
      </c>
      <c r="J13" s="26" t="inlineStr">
        <is>
          <t>Dom frei</t>
        </is>
      </c>
      <c r="K13" s="27" t="inlineStr">
        <is>
          <t>Büro</t>
        </is>
      </c>
      <c r="L13" s="28" t="inlineStr">
        <is>
          <t>HO</t>
        </is>
      </c>
      <c r="M13" s="26" t="inlineStr">
        <is>
          <t>Dom HO</t>
        </is>
      </c>
      <c r="N13" s="25" t="inlineStr">
        <is>
          <t>Frei</t>
        </is>
      </c>
      <c r="O13" s="25" t="inlineStr">
        <is>
          <t>Frei</t>
        </is>
      </c>
      <c r="P13" s="26" t="inlineStr">
        <is>
          <t>Beide frei</t>
        </is>
      </c>
    </row>
    <row r="14">
      <c r="A14" s="23" t="inlineStr">
        <is>
          <t>11:00</t>
        </is>
      </c>
      <c r="B14" s="28" t="inlineStr">
        <is>
          <t>HO</t>
        </is>
      </c>
      <c r="C14" s="27" t="inlineStr">
        <is>
          <t>Büro</t>
        </is>
      </c>
      <c r="D14" s="26" t="inlineStr">
        <is>
          <t>TM</t>
        </is>
      </c>
      <c r="E14" s="28" t="inlineStr">
        <is>
          <t>HO</t>
        </is>
      </c>
      <c r="F14" s="27" t="inlineStr">
        <is>
          <t>Büro</t>
        </is>
      </c>
      <c r="G14" s="26" t="inlineStr">
        <is>
          <t>TM</t>
        </is>
      </c>
      <c r="H14" s="27" t="inlineStr">
        <is>
          <t>Büro</t>
        </is>
      </c>
      <c r="I14" s="25" t="inlineStr">
        <is>
          <t>Frei</t>
        </is>
      </c>
      <c r="J14" s="26" t="inlineStr">
        <is>
          <t>Dom frei</t>
        </is>
      </c>
      <c r="K14" s="27" t="inlineStr">
        <is>
          <t>Büro</t>
        </is>
      </c>
      <c r="L14" s="28" t="inlineStr">
        <is>
          <t>HO</t>
        </is>
      </c>
      <c r="M14" s="26" t="inlineStr">
        <is>
          <t>Dom HO</t>
        </is>
      </c>
      <c r="N14" s="25" t="inlineStr">
        <is>
          <t>Frei</t>
        </is>
      </c>
      <c r="O14" s="25" t="inlineStr">
        <is>
          <t>Frei</t>
        </is>
      </c>
      <c r="P14" s="26" t="inlineStr">
        <is>
          <t>Beide frei</t>
        </is>
      </c>
    </row>
    <row r="15">
      <c r="A15" s="23" t="inlineStr">
        <is>
          <t>11:30</t>
        </is>
      </c>
      <c r="B15" s="28" t="inlineStr">
        <is>
          <t>HO</t>
        </is>
      </c>
      <c r="C15" s="27" t="inlineStr">
        <is>
          <t>Büro</t>
        </is>
      </c>
      <c r="D15" s="26" t="inlineStr">
        <is>
          <t>TM</t>
        </is>
      </c>
      <c r="E15" s="28" t="inlineStr">
        <is>
          <t>HO</t>
        </is>
      </c>
      <c r="F15" s="27" t="inlineStr">
        <is>
          <t>Büro</t>
        </is>
      </c>
      <c r="G15" s="26" t="inlineStr">
        <is>
          <t>TM</t>
        </is>
      </c>
      <c r="H15" s="27" t="inlineStr">
        <is>
          <t>Büro</t>
        </is>
      </c>
      <c r="I15" s="25" t="inlineStr">
        <is>
          <t>Frei</t>
        </is>
      </c>
      <c r="J15" s="26" t="inlineStr">
        <is>
          <t>Dom frei</t>
        </is>
      </c>
      <c r="K15" s="27" t="inlineStr">
        <is>
          <t>Büro</t>
        </is>
      </c>
      <c r="L15" s="28" t="inlineStr">
        <is>
          <t>HO</t>
        </is>
      </c>
      <c r="M15" s="26" t="inlineStr">
        <is>
          <t>Dom HO</t>
        </is>
      </c>
      <c r="N15" s="25" t="inlineStr">
        <is>
          <t>Frei</t>
        </is>
      </c>
      <c r="O15" s="25" t="inlineStr">
        <is>
          <t>Frei</t>
        </is>
      </c>
      <c r="P15" s="26" t="inlineStr">
        <is>
          <t>Beide frei</t>
        </is>
      </c>
    </row>
    <row r="16">
      <c r="A16" s="23" t="inlineStr">
        <is>
          <t>12:00</t>
        </is>
      </c>
      <c r="B16" s="30" t="inlineStr">
        <is>
          <t>Pause</t>
        </is>
      </c>
      <c r="C16" s="29" t="inlineStr">
        <is>
          <t>Pause</t>
        </is>
      </c>
      <c r="D16" s="26" t="inlineStr">
        <is>
          <t>TM</t>
        </is>
      </c>
      <c r="E16" s="30" t="inlineStr">
        <is>
          <t>Pause</t>
        </is>
      </c>
      <c r="F16" s="29" t="inlineStr">
        <is>
          <t>Pause</t>
        </is>
      </c>
      <c r="G16" s="26" t="inlineStr">
        <is>
          <t>TM</t>
        </is>
      </c>
      <c r="H16" s="29" t="inlineStr">
        <is>
          <t>Pause</t>
        </is>
      </c>
      <c r="I16" s="25" t="inlineStr">
        <is>
          <t>Frei</t>
        </is>
      </c>
      <c r="J16" s="26" t="inlineStr">
        <is>
          <t>Dom frei</t>
        </is>
      </c>
      <c r="K16" s="29" t="inlineStr">
        <is>
          <t>Pause</t>
        </is>
      </c>
      <c r="L16" s="25" t="inlineStr">
        <is>
          <t>Frei</t>
        </is>
      </c>
      <c r="M16" s="26" t="inlineStr">
        <is>
          <t>Dom frei</t>
        </is>
      </c>
      <c r="N16" s="25" t="inlineStr">
        <is>
          <t>Frei</t>
        </is>
      </c>
      <c r="O16" s="25" t="inlineStr">
        <is>
          <t>Frei</t>
        </is>
      </c>
      <c r="P16" s="26" t="inlineStr">
        <is>
          <t>Beide frei</t>
        </is>
      </c>
    </row>
    <row r="17">
      <c r="A17" s="23" t="inlineStr">
        <is>
          <t>12:30</t>
        </is>
      </c>
      <c r="B17" s="28" t="inlineStr">
        <is>
          <t>HO</t>
        </is>
      </c>
      <c r="C17" s="27" t="inlineStr">
        <is>
          <t>Büro</t>
        </is>
      </c>
      <c r="D17" s="26" t="inlineStr">
        <is>
          <t>TM</t>
        </is>
      </c>
      <c r="E17" s="28" t="inlineStr">
        <is>
          <t>HO</t>
        </is>
      </c>
      <c r="F17" s="27" t="inlineStr">
        <is>
          <t>Büro</t>
        </is>
      </c>
      <c r="G17" s="26" t="inlineStr">
        <is>
          <t>TM</t>
        </is>
      </c>
      <c r="H17" s="27" t="inlineStr">
        <is>
          <t>Büro</t>
        </is>
      </c>
      <c r="I17" s="25" t="inlineStr">
        <is>
          <t>Frei</t>
        </is>
      </c>
      <c r="J17" s="26" t="inlineStr">
        <is>
          <t>Dom frei</t>
        </is>
      </c>
      <c r="K17" s="27" t="inlineStr">
        <is>
          <t>Büro</t>
        </is>
      </c>
      <c r="L17" s="25" t="inlineStr">
        <is>
          <t>Frei</t>
        </is>
      </c>
      <c r="M17" s="26" t="inlineStr">
        <is>
          <t>Dom frei</t>
        </is>
      </c>
      <c r="N17" s="25" t="inlineStr">
        <is>
          <t>Frei</t>
        </is>
      </c>
      <c r="O17" s="25" t="inlineStr">
        <is>
          <t>Frei</t>
        </is>
      </c>
      <c r="P17" s="26" t="inlineStr">
        <is>
          <t>Beide frei</t>
        </is>
      </c>
    </row>
    <row r="18">
      <c r="A18" s="23" t="inlineStr">
        <is>
          <t>13:00</t>
        </is>
      </c>
      <c r="B18" s="28" t="inlineStr">
        <is>
          <t>HO</t>
        </is>
      </c>
      <c r="C18" s="27" t="inlineStr">
        <is>
          <t>Büro</t>
        </is>
      </c>
      <c r="D18" s="26" t="inlineStr">
        <is>
          <t>TM</t>
        </is>
      </c>
      <c r="E18" s="28" t="inlineStr">
        <is>
          <t>HO</t>
        </is>
      </c>
      <c r="F18" s="27" t="inlineStr">
        <is>
          <t>Büro</t>
        </is>
      </c>
      <c r="G18" s="26" t="inlineStr">
        <is>
          <t>TM</t>
        </is>
      </c>
      <c r="H18" s="27" t="inlineStr">
        <is>
          <t>Büro</t>
        </is>
      </c>
      <c r="I18" s="25" t="inlineStr">
        <is>
          <t>Frei</t>
        </is>
      </c>
      <c r="J18" s="26" t="inlineStr">
        <is>
          <t>Dom frei</t>
        </is>
      </c>
      <c r="K18" s="27" t="inlineStr">
        <is>
          <t>Büro</t>
        </is>
      </c>
      <c r="L18" s="25" t="inlineStr">
        <is>
          <t>Frei</t>
        </is>
      </c>
      <c r="M18" s="26" t="inlineStr">
        <is>
          <t>Dom frei</t>
        </is>
      </c>
      <c r="N18" s="25" t="inlineStr">
        <is>
          <t>Frei</t>
        </is>
      </c>
      <c r="O18" s="25" t="inlineStr">
        <is>
          <t>Frei</t>
        </is>
      </c>
      <c r="P18" s="26" t="inlineStr">
        <is>
          <t>Beide frei</t>
        </is>
      </c>
    </row>
    <row r="19">
      <c r="A19" s="23" t="inlineStr">
        <is>
          <t>13:30</t>
        </is>
      </c>
      <c r="B19" s="28" t="inlineStr">
        <is>
          <t>HO</t>
        </is>
      </c>
      <c r="C19" s="27" t="inlineStr">
        <is>
          <t>Büro</t>
        </is>
      </c>
      <c r="D19" s="26" t="inlineStr">
        <is>
          <t>TM</t>
        </is>
      </c>
      <c r="E19" s="28" t="inlineStr">
        <is>
          <t>HO</t>
        </is>
      </c>
      <c r="F19" s="27" t="inlineStr">
        <is>
          <t>Büro</t>
        </is>
      </c>
      <c r="G19" s="26" t="inlineStr">
        <is>
          <t>TM</t>
        </is>
      </c>
      <c r="H19" s="27" t="inlineStr">
        <is>
          <t>Büro</t>
        </is>
      </c>
      <c r="I19" s="25" t="inlineStr">
        <is>
          <t>Frei</t>
        </is>
      </c>
      <c r="J19" s="26" t="inlineStr">
        <is>
          <t>Dom frei</t>
        </is>
      </c>
      <c r="K19" s="27" t="inlineStr">
        <is>
          <t>Büro</t>
        </is>
      </c>
      <c r="L19" s="25" t="inlineStr">
        <is>
          <t>Frei</t>
        </is>
      </c>
      <c r="M19" s="26" t="inlineStr">
        <is>
          <t>Dom frei</t>
        </is>
      </c>
      <c r="N19" s="25" t="inlineStr">
        <is>
          <t>Frei</t>
        </is>
      </c>
      <c r="O19" s="25" t="inlineStr">
        <is>
          <t>Frei</t>
        </is>
      </c>
      <c r="P19" s="26" t="inlineStr">
        <is>
          <t>Beide frei</t>
        </is>
      </c>
    </row>
    <row r="20">
      <c r="A20" s="23" t="inlineStr">
        <is>
          <t>14:00</t>
        </is>
      </c>
      <c r="B20" s="28" t="inlineStr">
        <is>
          <t>HO</t>
        </is>
      </c>
      <c r="C20" s="27" t="inlineStr">
        <is>
          <t>Büro</t>
        </is>
      </c>
      <c r="D20" s="26" t="inlineStr">
        <is>
          <t>TM</t>
        </is>
      </c>
      <c r="E20" s="28" t="inlineStr">
        <is>
          <t>HO</t>
        </is>
      </c>
      <c r="F20" s="27" t="inlineStr">
        <is>
          <t>Büro</t>
        </is>
      </c>
      <c r="G20" s="26" t="inlineStr">
        <is>
          <t>TM</t>
        </is>
      </c>
      <c r="H20" s="27" t="inlineStr">
        <is>
          <t>Büro</t>
        </is>
      </c>
      <c r="I20" s="25" t="inlineStr">
        <is>
          <t>Frei</t>
        </is>
      </c>
      <c r="J20" s="26" t="inlineStr">
        <is>
          <t>Dom frei</t>
        </is>
      </c>
      <c r="K20" s="27" t="inlineStr">
        <is>
          <t>Büro</t>
        </is>
      </c>
      <c r="L20" s="25" t="inlineStr">
        <is>
          <t>Frei</t>
        </is>
      </c>
      <c r="M20" s="26" t="inlineStr">
        <is>
          <t>Dom frei</t>
        </is>
      </c>
      <c r="N20" s="25" t="inlineStr">
        <is>
          <t>Frei</t>
        </is>
      </c>
      <c r="O20" s="25" t="inlineStr">
        <is>
          <t>Frei</t>
        </is>
      </c>
      <c r="P20" s="26" t="inlineStr">
        <is>
          <t>Beide frei</t>
        </is>
      </c>
    </row>
    <row r="21">
      <c r="A21" s="23" t="inlineStr">
        <is>
          <t>14:30</t>
        </is>
      </c>
      <c r="B21" s="28" t="inlineStr">
        <is>
          <t>HO</t>
        </is>
      </c>
      <c r="C21" s="27" t="inlineStr">
        <is>
          <t>Büro</t>
        </is>
      </c>
      <c r="D21" s="26" t="inlineStr">
        <is>
          <t>TM</t>
        </is>
      </c>
      <c r="E21" s="28" t="inlineStr">
        <is>
          <t>HO</t>
        </is>
      </c>
      <c r="F21" s="27" t="inlineStr">
        <is>
          <t>Büro</t>
        </is>
      </c>
      <c r="G21" s="26" t="inlineStr">
        <is>
          <t>TM</t>
        </is>
      </c>
      <c r="H21" s="27" t="inlineStr">
        <is>
          <t>Büro</t>
        </is>
      </c>
      <c r="I21" s="25" t="inlineStr">
        <is>
          <t>Frei</t>
        </is>
      </c>
      <c r="J21" s="26" t="inlineStr">
        <is>
          <t>Dom frei</t>
        </is>
      </c>
      <c r="K21" s="27" t="inlineStr">
        <is>
          <t>Büro</t>
        </is>
      </c>
      <c r="L21" s="25" t="inlineStr">
        <is>
          <t>Frei</t>
        </is>
      </c>
      <c r="M21" s="26" t="inlineStr">
        <is>
          <t>Dom frei</t>
        </is>
      </c>
      <c r="N21" s="25" t="inlineStr">
        <is>
          <t>Frei</t>
        </is>
      </c>
      <c r="O21" s="25" t="inlineStr">
        <is>
          <t>Frei</t>
        </is>
      </c>
      <c r="P21" s="26" t="inlineStr">
        <is>
          <t>Beide frei</t>
        </is>
      </c>
    </row>
    <row r="22">
      <c r="A22" s="23" t="inlineStr">
        <is>
          <t>15:00</t>
        </is>
      </c>
      <c r="B22" s="28" t="inlineStr">
        <is>
          <t>HO</t>
        </is>
      </c>
      <c r="C22" s="27" t="inlineStr">
        <is>
          <t>Büro</t>
        </is>
      </c>
      <c r="D22" s="26" t="inlineStr">
        <is>
          <t>TM</t>
        </is>
      </c>
      <c r="E22" s="28" t="inlineStr">
        <is>
          <t>HO</t>
        </is>
      </c>
      <c r="F22" s="27" t="inlineStr">
        <is>
          <t>Büro</t>
        </is>
      </c>
      <c r="G22" s="26" t="inlineStr">
        <is>
          <t>TM</t>
        </is>
      </c>
      <c r="H22" s="27" t="inlineStr">
        <is>
          <t>Büro</t>
        </is>
      </c>
      <c r="I22" s="25" t="inlineStr">
        <is>
          <t>Frei</t>
        </is>
      </c>
      <c r="J22" s="26" t="inlineStr">
        <is>
          <t>Dom frei</t>
        </is>
      </c>
      <c r="K22" s="27" t="inlineStr">
        <is>
          <t>Büro</t>
        </is>
      </c>
      <c r="L22" s="25" t="inlineStr">
        <is>
          <t>Frei</t>
        </is>
      </c>
      <c r="M22" s="26" t="inlineStr">
        <is>
          <t>Dom frei</t>
        </is>
      </c>
      <c r="N22" s="25" t="inlineStr">
        <is>
          <t>Frei</t>
        </is>
      </c>
      <c r="O22" s="25" t="inlineStr">
        <is>
          <t>Frei</t>
        </is>
      </c>
      <c r="P22" s="26" t="inlineStr">
        <is>
          <t>Beide frei</t>
        </is>
      </c>
    </row>
    <row r="23">
      <c r="A23" s="23" t="inlineStr">
        <is>
          <t>15:30</t>
        </is>
      </c>
      <c r="B23" s="28" t="inlineStr">
        <is>
          <t>HO</t>
        </is>
      </c>
      <c r="C23" s="27" t="inlineStr">
        <is>
          <t>Büro</t>
        </is>
      </c>
      <c r="D23" s="26" t="inlineStr">
        <is>
          <t>Paul HO</t>
        </is>
      </c>
      <c r="E23" s="28" t="inlineStr">
        <is>
          <t>HO</t>
        </is>
      </c>
      <c r="F23" s="27" t="inlineStr">
        <is>
          <t>Büro</t>
        </is>
      </c>
      <c r="G23" s="26" t="inlineStr">
        <is>
          <t>Paul HO</t>
        </is>
      </c>
      <c r="H23" s="27" t="inlineStr">
        <is>
          <t>Büro</t>
        </is>
      </c>
      <c r="I23" s="25" t="inlineStr">
        <is>
          <t>Frei</t>
        </is>
      </c>
      <c r="J23" s="26" t="inlineStr">
        <is>
          <t>Dom frei</t>
        </is>
      </c>
      <c r="K23" s="27" t="inlineStr">
        <is>
          <t>Büro</t>
        </is>
      </c>
      <c r="L23" s="25" t="inlineStr">
        <is>
          <t>Frei</t>
        </is>
      </c>
      <c r="M23" s="26" t="inlineStr">
        <is>
          <t>Dom frei</t>
        </is>
      </c>
      <c r="N23" s="25" t="inlineStr">
        <is>
          <t>Frei</t>
        </is>
      </c>
      <c r="O23" s="25" t="inlineStr">
        <is>
          <t>Frei</t>
        </is>
      </c>
      <c r="P23" s="26" t="inlineStr">
        <is>
          <t>Beide frei</t>
        </is>
      </c>
    </row>
    <row r="24">
      <c r="A24" s="23" t="inlineStr">
        <is>
          <t>16:00</t>
        </is>
      </c>
      <c r="B24" s="28" t="inlineStr">
        <is>
          <t>HO</t>
        </is>
      </c>
      <c r="C24" s="27" t="inlineStr">
        <is>
          <t>Büro</t>
        </is>
      </c>
      <c r="D24" s="26" t="inlineStr">
        <is>
          <t>Paul HO</t>
        </is>
      </c>
      <c r="E24" s="28" t="inlineStr">
        <is>
          <t>HO</t>
        </is>
      </c>
      <c r="F24" s="27" t="inlineStr">
        <is>
          <t>Büro</t>
        </is>
      </c>
      <c r="G24" s="26" t="inlineStr">
        <is>
          <t>Paul HO</t>
        </is>
      </c>
      <c r="H24" s="27" t="inlineStr">
        <is>
          <t>Büro</t>
        </is>
      </c>
      <c r="I24" s="25" t="inlineStr">
        <is>
          <t>Frei</t>
        </is>
      </c>
      <c r="J24" s="26" t="inlineStr">
        <is>
          <t>Dom frei</t>
        </is>
      </c>
      <c r="K24" s="27" t="inlineStr">
        <is>
          <t>Büro</t>
        </is>
      </c>
      <c r="L24" s="25" t="inlineStr">
        <is>
          <t>Frei</t>
        </is>
      </c>
      <c r="M24" s="26" t="inlineStr">
        <is>
          <t>Dom frei</t>
        </is>
      </c>
      <c r="N24" s="25" t="inlineStr">
        <is>
          <t>Frei</t>
        </is>
      </c>
      <c r="O24" s="25" t="inlineStr">
        <is>
          <t>Frei</t>
        </is>
      </c>
      <c r="P24" s="26" t="inlineStr">
        <is>
          <t>Beide frei</t>
        </is>
      </c>
    </row>
    <row r="25">
      <c r="A25" s="23" t="inlineStr">
        <is>
          <t>16:30</t>
        </is>
      </c>
      <c r="B25" s="28" t="inlineStr">
        <is>
          <t>HO</t>
        </is>
      </c>
      <c r="C25" s="24" t="inlineStr">
        <is>
          <t>→Home</t>
        </is>
      </c>
      <c r="D25" s="26" t="inlineStr">
        <is>
          <t>Paul HO</t>
        </is>
      </c>
      <c r="E25" s="28" t="inlineStr">
        <is>
          <t>HO</t>
        </is>
      </c>
      <c r="F25" s="24" t="inlineStr">
        <is>
          <t>→Home</t>
        </is>
      </c>
      <c r="G25" s="26" t="inlineStr">
        <is>
          <t>Paul HO</t>
        </is>
      </c>
      <c r="H25" s="27" t="inlineStr">
        <is>
          <t>Büro</t>
        </is>
      </c>
      <c r="I25" s="25" t="inlineStr">
        <is>
          <t>Frei</t>
        </is>
      </c>
      <c r="J25" s="26" t="inlineStr">
        <is>
          <t>Dom frei</t>
        </is>
      </c>
      <c r="K25" s="24" t="inlineStr">
        <is>
          <t>→Home</t>
        </is>
      </c>
      <c r="L25" s="25" t="inlineStr">
        <is>
          <t>Frei</t>
        </is>
      </c>
      <c r="M25" s="26" t="inlineStr">
        <is>
          <t>Dom frei</t>
        </is>
      </c>
      <c r="N25" s="25" t="inlineStr">
        <is>
          <t>Frei</t>
        </is>
      </c>
      <c r="O25" s="25" t="inlineStr">
        <is>
          <t>Frei</t>
        </is>
      </c>
      <c r="P25" s="26" t="inlineStr">
        <is>
          <t>Beide frei</t>
        </is>
      </c>
    </row>
    <row r="26">
      <c r="A26" s="23" t="inlineStr">
        <is>
          <t>17:00</t>
        </is>
      </c>
      <c r="B26" s="28" t="inlineStr">
        <is>
          <t>HO</t>
        </is>
      </c>
      <c r="C26" s="25" t="inlineStr">
        <is>
          <t>Frei</t>
        </is>
      </c>
      <c r="D26" s="26" t="inlineStr">
        <is>
          <t>P:HO D:frei</t>
        </is>
      </c>
      <c r="E26" s="28" t="inlineStr">
        <is>
          <t>HO</t>
        </is>
      </c>
      <c r="F26" s="25" t="inlineStr">
        <is>
          <t>Frei</t>
        </is>
      </c>
      <c r="G26" s="26" t="inlineStr">
        <is>
          <t>P:HO D:frei</t>
        </is>
      </c>
      <c r="H26" s="27" t="inlineStr">
        <is>
          <t>Büro</t>
        </is>
      </c>
      <c r="I26" s="25" t="inlineStr">
        <is>
          <t>Frei</t>
        </is>
      </c>
      <c r="J26" s="26" t="inlineStr">
        <is>
          <t>Dom frei</t>
        </is>
      </c>
      <c r="K26" s="25" t="inlineStr">
        <is>
          <t>Frei</t>
        </is>
      </c>
      <c r="L26" s="25" t="inlineStr">
        <is>
          <t>Frei</t>
        </is>
      </c>
      <c r="M26" s="26" t="inlineStr">
        <is>
          <t>Beide frei</t>
        </is>
      </c>
      <c r="N26" s="25" t="inlineStr">
        <is>
          <t>Frei</t>
        </is>
      </c>
      <c r="O26" s="25" t="inlineStr">
        <is>
          <t>Frei</t>
        </is>
      </c>
      <c r="P26" s="26" t="inlineStr">
        <is>
          <t>Beide frei</t>
        </is>
      </c>
    </row>
    <row r="27">
      <c r="A27" s="23" t="inlineStr">
        <is>
          <t>17:30</t>
        </is>
      </c>
      <c r="B27" s="25" t="inlineStr">
        <is>
          <t>Frei</t>
        </is>
      </c>
      <c r="C27" s="25" t="inlineStr">
        <is>
          <t>Frei</t>
        </is>
      </c>
      <c r="D27" s="26" t="inlineStr">
        <is>
          <t>Beide frei</t>
        </is>
      </c>
      <c r="E27" s="25" t="inlineStr">
        <is>
          <t>Frei</t>
        </is>
      </c>
      <c r="F27" s="25" t="inlineStr">
        <is>
          <t>Frei</t>
        </is>
      </c>
      <c r="G27" s="26" t="inlineStr">
        <is>
          <t>Beide frei</t>
        </is>
      </c>
      <c r="H27" s="24" t="inlineStr">
        <is>
          <t>→Home</t>
        </is>
      </c>
      <c r="I27" s="25" t="inlineStr">
        <is>
          <t>Frei</t>
        </is>
      </c>
      <c r="J27" s="26" t="inlineStr">
        <is>
          <t>Dom frei</t>
        </is>
      </c>
      <c r="K27" s="25" t="inlineStr">
        <is>
          <t>Frei</t>
        </is>
      </c>
      <c r="L27" s="25" t="inlineStr">
        <is>
          <t>Frei</t>
        </is>
      </c>
      <c r="M27" s="26" t="inlineStr">
        <is>
          <t>Beide frei</t>
        </is>
      </c>
      <c r="N27" s="25" t="inlineStr">
        <is>
          <t>Frei</t>
        </is>
      </c>
      <c r="O27" s="25" t="inlineStr">
        <is>
          <t>Frei</t>
        </is>
      </c>
      <c r="P27" s="26" t="inlineStr">
        <is>
          <t>Beide frei</t>
        </is>
      </c>
    </row>
    <row r="29">
      <c r="A29" s="3" t="inlineStr">
        <is>
          <t>Einkommen &amp; Kosten</t>
        </is>
      </c>
    </row>
    <row r="30">
      <c r="A30" s="31" t="inlineStr"/>
      <c r="B30" s="31" t="inlineStr">
        <is>
          <t>Wochenstd.</t>
        </is>
      </c>
      <c r="C30" s="31" t="inlineStr">
        <is>
          <t>Vollzeit Brutto/J</t>
        </is>
      </c>
      <c r="D30" s="31" t="inlineStr">
        <is>
          <t>Anteil</t>
        </is>
      </c>
      <c r="E30" s="31" t="inlineStr">
        <is>
          <t>Brutto/Mon</t>
        </is>
      </c>
      <c r="F30" s="31" t="inlineStr">
        <is>
          <t>Brutto/Jahr</t>
        </is>
      </c>
      <c r="G30" s="31" t="inlineStr">
        <is>
          <t>Netto/Mon (≈)</t>
        </is>
      </c>
      <c r="H30" s="31" t="inlineStr">
        <is>
          <t>Netto/Jahr (≈)</t>
        </is>
      </c>
    </row>
    <row r="31">
      <c r="A31" s="32" t="inlineStr">
        <is>
          <t>Paul</t>
        </is>
      </c>
      <c r="B31" s="33" t="n">
        <v>35</v>
      </c>
      <c r="C31" s="34" t="n">
        <v>96000</v>
      </c>
      <c r="D31" s="35">
        <f>B31/40</f>
        <v/>
      </c>
      <c r="E31" s="34">
        <f>C31*D31/12</f>
        <v/>
      </c>
      <c r="F31" s="34">
        <f>C31*D31</f>
        <v/>
      </c>
      <c r="G31" s="34">
        <f>IF(E31&gt;=8000,E31*0.6,IF(E31&gt;=7000,E31*0.61,IF(E31&gt;=6000,E31*0.62,IF(E31&gt;=5000,E31*0.64,IF(E31&gt;=4000,E31*0.66,IF(E31&gt;=3000,E31*0.68,E31*0.70))))))</f>
        <v/>
      </c>
      <c r="H31" s="34">
        <f>G31*12</f>
        <v/>
      </c>
    </row>
    <row r="32">
      <c r="A32" s="32" t="inlineStr">
        <is>
          <t>Dominique</t>
        </is>
      </c>
      <c r="B32" s="33" t="n">
        <v>20</v>
      </c>
      <c r="C32" s="34" t="n">
        <v>84000</v>
      </c>
      <c r="D32" s="35">
        <f>B32/40</f>
        <v/>
      </c>
      <c r="E32" s="34">
        <f>C32*D32/12</f>
        <v/>
      </c>
      <c r="F32" s="34">
        <f>C32*D32</f>
        <v/>
      </c>
      <c r="G32" s="34">
        <f>IF(E32&gt;=8000,E32*0.6,IF(E32&gt;=7000,E32*0.61,IF(E32&gt;=6000,E32*0.62,IF(E32&gt;=5000,E32*0.64,IF(E32&gt;=4000,E32*0.66,IF(E32&gt;=3000,E32*0.68,E32*0.70))))))</f>
        <v/>
      </c>
      <c r="H32" s="34">
        <f>G32*12</f>
        <v/>
      </c>
    </row>
    <row r="33">
      <c r="A33" s="36" t="inlineStr">
        <is>
          <t>Haushalt gesamt</t>
        </is>
      </c>
      <c r="B33" s="37">
        <f>B31+B32</f>
        <v/>
      </c>
      <c r="C33" s="36" t="n"/>
      <c r="D33" s="36" t="n"/>
      <c r="E33" s="38">
        <f>E31+E32</f>
        <v/>
      </c>
      <c r="F33" s="38">
        <f>F31+F32</f>
        <v/>
      </c>
      <c r="G33" s="38">
        <f>G31+G32</f>
        <v/>
      </c>
      <c r="H33" s="38">
        <f>H31+H32</f>
        <v/>
      </c>
    </row>
    <row r="35">
      <c r="A35" s="7" t="inlineStr">
        <is>
          <t>Haushaltseinkommen lt. Satzung (Brutto -30%)</t>
        </is>
      </c>
      <c r="B35" s="39">
        <f>F33*0.7</f>
        <v/>
      </c>
    </row>
    <row r="36">
      <c r="A36" s="7" t="inlineStr">
        <is>
          <t>Tagesmutter-Kosten/Monat (Gruppe V, 15-19h)</t>
        </is>
      </c>
      <c r="B36" s="41" t="n">
        <v>197</v>
      </c>
    </row>
    <row r="37">
      <c r="A37" s="7" t="inlineStr">
        <is>
          <t>Netto-Haushalt nach TM-Kosten / Monat</t>
        </is>
      </c>
      <c r="B37" s="40">
        <f>G33-B36</f>
        <v/>
      </c>
    </row>
    <row r="39">
      <c r="A39" s="9" t="inlineStr">
        <is>
          <t>Netto-Schätzung: Steuerklasse IV/IV, verheiratet, 1 Kind, 2026 (Quelle: brutto-netto-rechner.info Näherung).</t>
        </is>
      </c>
    </row>
    <row r="40">
      <c r="A40" s="9" t="inlineStr">
        <is>
          <t>→ TM: 2 Tage. 16.0h/Woche. Gruppe V (Haushalt -30% = 88.200 €)</t>
        </is>
      </c>
    </row>
    <row r="43">
      <c r="A43" s="7" t="inlineStr">
        <is>
          <t>Legende:</t>
        </is>
      </c>
    </row>
    <row r="44">
      <c r="A44" s="8" t="inlineStr"/>
      <c r="B44" s="9" t="inlineStr">
        <is>
          <t>Büro</t>
        </is>
      </c>
    </row>
    <row r="45">
      <c r="A45" s="10" t="inlineStr"/>
      <c r="B45" s="9" t="inlineStr">
        <is>
          <t>Homeoffice (HO) – ca. 50% Eigen-Betreuung möglich</t>
        </is>
      </c>
    </row>
    <row r="46">
      <c r="A46" s="11" t="inlineStr"/>
      <c r="B46" s="9" t="inlineStr">
        <is>
          <t>Pendeln (→Büro / →Home)</t>
        </is>
      </c>
    </row>
    <row r="47">
      <c r="A47" s="12" t="inlineStr"/>
      <c r="B47" s="9" t="inlineStr">
        <is>
          <t>Pause @ Büro (unbezahlt)</t>
        </is>
      </c>
    </row>
    <row r="48">
      <c r="A48" s="13" t="inlineStr"/>
      <c r="B48" s="9" t="inlineStr">
        <is>
          <t>Pause @ Zuhause (unbezahlt)</t>
        </is>
      </c>
    </row>
    <row r="49">
      <c r="A49" s="14" t="inlineStr"/>
      <c r="B49" s="9" t="inlineStr">
        <is>
          <t>Tagesmutter</t>
        </is>
      </c>
    </row>
    <row r="50">
      <c r="A50" s="15" t="inlineStr"/>
      <c r="B50" s="9" t="inlineStr">
        <is>
          <t>Frei / Eltern-Betreuung</t>
        </is>
      </c>
    </row>
    <row r="51">
      <c r="A51" s="16" t="inlineStr"/>
      <c r="B51" s="9" t="inlineStr">
        <is>
          <t>Niklas: betreut</t>
        </is>
      </c>
    </row>
    <row r="52">
      <c r="A52" s="17" t="inlineStr"/>
      <c r="B52" s="9" t="inlineStr">
        <is>
          <t>Niklas: LÜCKE</t>
        </is>
      </c>
    </row>
  </sheetData>
  <mergeCells count="19"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  <mergeCell ref="A1:P1"/>
    <mergeCell ref="H5:J5"/>
    <mergeCell ref="B52:E52"/>
    <mergeCell ref="B48:E48"/>
    <mergeCell ref="A29:H29"/>
    <mergeCell ref="E5:G5"/>
    <mergeCell ref="K5:M5"/>
    <mergeCell ref="B44:E44"/>
    <mergeCell ref="A2:P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8" t="inlineStr">
        <is>
          <t>Variantenvergleich</t>
        </is>
      </c>
    </row>
    <row r="3">
      <c r="A3" s="31" t="inlineStr">
        <is>
          <t>Variante</t>
        </is>
      </c>
      <c r="B3" s="31" t="inlineStr">
        <is>
          <t>Paul Std/W</t>
        </is>
      </c>
      <c r="C3" s="31" t="inlineStr">
        <is>
          <t>Dom Std/W</t>
        </is>
      </c>
      <c r="D3" s="31" t="inlineStr">
        <is>
          <t>Paul Brutto/Mon</t>
        </is>
      </c>
      <c r="E3" s="31" t="inlineStr">
        <is>
          <t>Dom Brutto/Mon</t>
        </is>
      </c>
      <c r="F3" s="31" t="inlineStr">
        <is>
          <t>Brutto HH/Mon</t>
        </is>
      </c>
      <c r="G3" s="31" t="inlineStr">
        <is>
          <t>Paul Netto/Mon</t>
        </is>
      </c>
      <c r="H3" s="31" t="inlineStr">
        <is>
          <t>Dom Netto/Mon</t>
        </is>
      </c>
      <c r="I3" s="31" t="inlineStr">
        <is>
          <t>Netto HH/Mon</t>
        </is>
      </c>
      <c r="J3" s="31" t="inlineStr">
        <is>
          <t>TM/Mon</t>
        </is>
      </c>
      <c r="K3" s="31" t="inlineStr">
        <is>
          <t>Netto-Net/Mon</t>
        </is>
      </c>
      <c r="L3" s="31" t="inlineStr">
        <is>
          <t>Eltern-Zeit*</t>
        </is>
      </c>
    </row>
    <row r="4">
      <c r="A4" s="32" t="inlineStr">
        <is>
          <t>V1 Beide Vollzeit</t>
        </is>
      </c>
      <c r="B4" s="33" t="n">
        <v>40</v>
      </c>
      <c r="C4" s="33" t="n">
        <v>40</v>
      </c>
      <c r="D4" s="34">
        <f>B4/40*96000/12</f>
        <v/>
      </c>
      <c r="E4" s="34">
        <f>C4/40*84000/12</f>
        <v/>
      </c>
      <c r="F4" s="34">
        <f>D4+E4</f>
        <v/>
      </c>
      <c r="G4" s="34">
        <f>IF(D4&gt;=8000,D4*0.6,IF(D4&gt;=7000,D4*0.61,IF(D4&gt;=6000,D4*0.62,IF(D4&gt;=5000,D4*0.64,IF(D4&gt;=4000,D4*0.66,IF(D4&gt;=3000,D4*0.68,D4*0.70))))))</f>
        <v/>
      </c>
      <c r="H4" s="34">
        <f>IF(E4&gt;=8000,E4*0.6,IF(E4&gt;=7000,E4*0.61,IF(E4&gt;=6000,E4*0.62,IF(E4&gt;=5000,E4*0.64,IF(E4&gt;=4000,E4*0.66,IF(E4&gt;=3000,E4*0.68,E4*0.70))))))</f>
        <v/>
      </c>
      <c r="I4" s="34">
        <f>G4+H4</f>
        <v/>
      </c>
      <c r="J4" s="34" t="n">
        <v>0</v>
      </c>
      <c r="K4" s="38">
        <f>I4-J4</f>
        <v/>
      </c>
      <c r="L4" s="33" t="inlineStr">
        <is>
          <t>niedrig</t>
        </is>
      </c>
    </row>
    <row r="5">
      <c r="A5" s="32" t="inlineStr">
        <is>
          <t>V2 Paul 40h + Dom 50%</t>
        </is>
      </c>
      <c r="B5" s="33" t="n">
        <v>40</v>
      </c>
      <c r="C5" s="33" t="n">
        <v>20</v>
      </c>
      <c r="D5" s="34">
        <f>B5/40*96000/12</f>
        <v/>
      </c>
      <c r="E5" s="34">
        <f>C5/40*84000/12</f>
        <v/>
      </c>
      <c r="F5" s="34">
        <f>D5+E5</f>
        <v/>
      </c>
      <c r="G5" s="34">
        <f>IF(D5&gt;=8000,D5*0.6,IF(D5&gt;=7000,D5*0.61,IF(D5&gt;=6000,D5*0.62,IF(D5&gt;=5000,D5*0.64,IF(D5&gt;=4000,D5*0.66,IF(D5&gt;=3000,D5*0.68,D5*0.70))))))</f>
        <v/>
      </c>
      <c r="H5" s="34">
        <f>IF(E5&gt;=8000,E5*0.6,IF(E5&gt;=7000,E5*0.61,IF(E5&gt;=6000,E5*0.62,IF(E5&gt;=5000,E5*0.64,IF(E5&gt;=4000,E5*0.66,IF(E5&gt;=3000,E5*0.68,E5*0.70))))))</f>
        <v/>
      </c>
      <c r="I5" s="34">
        <f>G5+H5</f>
        <v/>
      </c>
      <c r="J5" s="34" t="n">
        <v>0</v>
      </c>
      <c r="K5" s="38">
        <f>I5-J5</f>
        <v/>
      </c>
      <c r="L5" s="33" t="inlineStr">
        <is>
          <t>mittel</t>
        </is>
      </c>
    </row>
    <row r="6">
      <c r="A6" s="32" t="inlineStr">
        <is>
          <t>V3 Beide 35h</t>
        </is>
      </c>
      <c r="B6" s="33" t="n">
        <v>35</v>
      </c>
      <c r="C6" s="33" t="n">
        <v>35</v>
      </c>
      <c r="D6" s="34">
        <f>B6/40*96000/12</f>
        <v/>
      </c>
      <c r="E6" s="34">
        <f>C6/40*84000/12</f>
        <v/>
      </c>
      <c r="F6" s="34">
        <f>D6+E6</f>
        <v/>
      </c>
      <c r="G6" s="34">
        <f>IF(D6&gt;=8000,D6*0.6,IF(D6&gt;=7000,D6*0.61,IF(D6&gt;=6000,D6*0.62,IF(D6&gt;=5000,D6*0.64,IF(D6&gt;=4000,D6*0.66,IF(D6&gt;=3000,D6*0.68,D6*0.70))))))</f>
        <v/>
      </c>
      <c r="H6" s="34">
        <f>IF(E6&gt;=8000,E6*0.6,IF(E6&gt;=7000,E6*0.61,IF(E6&gt;=6000,E6*0.62,IF(E6&gt;=5000,E6*0.64,IF(E6&gt;=4000,E6*0.66,IF(E6&gt;=3000,E6*0.68,E6*0.70))))))</f>
        <v/>
      </c>
      <c r="I6" s="34">
        <f>G6+H6</f>
        <v/>
      </c>
      <c r="J6" s="34" t="n">
        <v>0</v>
      </c>
      <c r="K6" s="38">
        <f>I6-J6</f>
        <v/>
      </c>
      <c r="L6" s="33" t="inlineStr">
        <is>
          <t>mittel-hoch</t>
        </is>
      </c>
    </row>
    <row r="7">
      <c r="A7" s="32" t="inlineStr">
        <is>
          <t>V4 Paul 28h + Dom 40h</t>
        </is>
      </c>
      <c r="B7" s="33" t="n">
        <v>28</v>
      </c>
      <c r="C7" s="33" t="n">
        <v>40</v>
      </c>
      <c r="D7" s="34">
        <f>B7/40*96000/12</f>
        <v/>
      </c>
      <c r="E7" s="34">
        <f>C7/40*84000/12</f>
        <v/>
      </c>
      <c r="F7" s="34">
        <f>D7+E7</f>
        <v/>
      </c>
      <c r="G7" s="34">
        <f>IF(D7&gt;=8000,D7*0.6,IF(D7&gt;=7000,D7*0.61,IF(D7&gt;=6000,D7*0.62,IF(D7&gt;=5000,D7*0.64,IF(D7&gt;=4000,D7*0.66,IF(D7&gt;=3000,D7*0.68,D7*0.70))))))</f>
        <v/>
      </c>
      <c r="H7" s="34">
        <f>IF(E7&gt;=8000,E7*0.6,IF(E7&gt;=7000,E7*0.61,IF(E7&gt;=6000,E7*0.62,IF(E7&gt;=5000,E7*0.64,IF(E7&gt;=4000,E7*0.66,IF(E7&gt;=3000,E7*0.68,E7*0.70))))))</f>
        <v/>
      </c>
      <c r="I7" s="34">
        <f>G7+H7</f>
        <v/>
      </c>
      <c r="J7" s="34" t="n">
        <v>0</v>
      </c>
      <c r="K7" s="38">
        <f>I7-J7</f>
        <v/>
      </c>
      <c r="L7" s="33" t="inlineStr">
        <is>
          <t>hoch</t>
        </is>
      </c>
    </row>
    <row r="8">
      <c r="A8" s="32" t="inlineStr">
        <is>
          <t>V5 Paul 21h + Dom 40h</t>
        </is>
      </c>
      <c r="B8" s="33" t="n">
        <v>21</v>
      </c>
      <c r="C8" s="33" t="n">
        <v>40</v>
      </c>
      <c r="D8" s="34">
        <f>B8/40*96000/12</f>
        <v/>
      </c>
      <c r="E8" s="34">
        <f>C8/40*84000/12</f>
        <v/>
      </c>
      <c r="F8" s="34">
        <f>D8+E8</f>
        <v/>
      </c>
      <c r="G8" s="34">
        <f>IF(D8&gt;=8000,D8*0.6,IF(D8&gt;=7000,D8*0.61,IF(D8&gt;=6000,D8*0.62,IF(D8&gt;=5000,D8*0.64,IF(D8&gt;=4000,D8*0.66,IF(D8&gt;=3000,D8*0.68,D8*0.70))))))</f>
        <v/>
      </c>
      <c r="H8" s="34">
        <f>IF(E8&gt;=8000,E8*0.6,IF(E8&gt;=7000,E8*0.61,IF(E8&gt;=6000,E8*0.62,IF(E8&gt;=5000,E8*0.64,IF(E8&gt;=4000,E8*0.66,IF(E8&gt;=3000,E8*0.68,E8*0.70))))))</f>
        <v/>
      </c>
      <c r="I8" s="34">
        <f>G8+H8</f>
        <v/>
      </c>
      <c r="J8" s="34" t="n">
        <v>0</v>
      </c>
      <c r="K8" s="38">
        <f>I8-J8</f>
        <v/>
      </c>
      <c r="L8" s="33" t="inlineStr">
        <is>
          <t>sehr hoch</t>
        </is>
      </c>
    </row>
    <row r="9">
      <c r="A9" s="32" t="inlineStr">
        <is>
          <t>V6 TM 5d + Beide 40h</t>
        </is>
      </c>
      <c r="B9" s="33" t="n">
        <v>40</v>
      </c>
      <c r="C9" s="33" t="n">
        <v>40</v>
      </c>
      <c r="D9" s="34">
        <f>B9/40*96000/12</f>
        <v/>
      </c>
      <c r="E9" s="34">
        <f>C9/40*84000/12</f>
        <v/>
      </c>
      <c r="F9" s="34">
        <f>D9+E9</f>
        <v/>
      </c>
      <c r="G9" s="34">
        <f>IF(D9&gt;=8000,D9*0.6,IF(D9&gt;=7000,D9*0.61,IF(D9&gt;=6000,D9*0.62,IF(D9&gt;=5000,D9*0.64,IF(D9&gt;=4000,D9*0.66,IF(D9&gt;=3000,D9*0.68,D9*0.70))))))</f>
        <v/>
      </c>
      <c r="H9" s="34">
        <f>IF(E9&gt;=8000,E9*0.6,IF(E9&gt;=7000,E9*0.61,IF(E9&gt;=6000,E9*0.62,IF(E9&gt;=5000,E9*0.64,IF(E9&gt;=4000,E9*0.66,IF(E9&gt;=3000,E9*0.68,E9*0.70))))))</f>
        <v/>
      </c>
      <c r="I9" s="34">
        <f>G9+H9</f>
        <v/>
      </c>
      <c r="J9" s="34" t="n">
        <v>465</v>
      </c>
      <c r="K9" s="38">
        <f>I9-J9</f>
        <v/>
      </c>
      <c r="L9" s="33" t="inlineStr">
        <is>
          <t>niedrig (TM stabil)</t>
        </is>
      </c>
    </row>
    <row r="10">
      <c r="A10" s="32" t="inlineStr">
        <is>
          <t>V7 TM 5d + Beide 35h</t>
        </is>
      </c>
      <c r="B10" s="33" t="n">
        <v>35</v>
      </c>
      <c r="C10" s="33" t="n">
        <v>35</v>
      </c>
      <c r="D10" s="34">
        <f>B10/40*96000/12</f>
        <v/>
      </c>
      <c r="E10" s="34">
        <f>C10/40*84000/12</f>
        <v/>
      </c>
      <c r="F10" s="34">
        <f>D10+E10</f>
        <v/>
      </c>
      <c r="G10" s="34">
        <f>IF(D10&gt;=8000,D10*0.6,IF(D10&gt;=7000,D10*0.61,IF(D10&gt;=6000,D10*0.62,IF(D10&gt;=5000,D10*0.64,IF(D10&gt;=4000,D10*0.66,IF(D10&gt;=3000,D10*0.68,D10*0.70))))))</f>
        <v/>
      </c>
      <c r="H10" s="34">
        <f>IF(E10&gt;=8000,E10*0.6,IF(E10&gt;=7000,E10*0.61,IF(E10&gt;=6000,E10*0.62,IF(E10&gt;=5000,E10*0.64,IF(E10&gt;=4000,E10*0.66,IF(E10&gt;=3000,E10*0.68,E10*0.70))))))</f>
        <v/>
      </c>
      <c r="I10" s="34">
        <f>G10+H10</f>
        <v/>
      </c>
      <c r="J10" s="34" t="n">
        <v>388</v>
      </c>
      <c r="K10" s="38">
        <f>I10-J10</f>
        <v/>
      </c>
      <c r="L10" s="33" t="inlineStr">
        <is>
          <t>mittel</t>
        </is>
      </c>
    </row>
    <row r="11">
      <c r="A11" s="32" t="inlineStr">
        <is>
          <t>V8 TM 3d + Paul 28h + Dom 50%</t>
        </is>
      </c>
      <c r="B11" s="33" t="n">
        <v>28</v>
      </c>
      <c r="C11" s="33" t="n">
        <v>20</v>
      </c>
      <c r="D11" s="34">
        <f>B11/40*96000/12</f>
        <v/>
      </c>
      <c r="E11" s="34">
        <f>C11/40*84000/12</f>
        <v/>
      </c>
      <c r="F11" s="34">
        <f>D11+E11</f>
        <v/>
      </c>
      <c r="G11" s="34">
        <f>IF(D11&gt;=8000,D11*0.6,IF(D11&gt;=7000,D11*0.61,IF(D11&gt;=6000,D11*0.62,IF(D11&gt;=5000,D11*0.64,IF(D11&gt;=4000,D11*0.66,IF(D11&gt;=3000,D11*0.68,D11*0.70))))))</f>
        <v/>
      </c>
      <c r="H11" s="34">
        <f>IF(E11&gt;=8000,E11*0.6,IF(E11&gt;=7000,E11*0.61,IF(E11&gt;=6000,E11*0.62,IF(E11&gt;=5000,E11*0.64,IF(E11&gt;=4000,E11*0.66,IF(E11&gt;=3000,E11*0.68,E11*0.70))))))</f>
        <v/>
      </c>
      <c r="I11" s="34">
        <f>G11+H11</f>
        <v/>
      </c>
      <c r="J11" s="34" t="n">
        <v>148</v>
      </c>
      <c r="K11" s="38">
        <f>I11-J11</f>
        <v/>
      </c>
      <c r="L11" s="33" t="inlineStr">
        <is>
          <t>sehr hoch</t>
        </is>
      </c>
    </row>
    <row r="12">
      <c r="A12" s="32" t="inlineStr">
        <is>
          <t>V9 TM 2d + Paul 21h + Dom 50%</t>
        </is>
      </c>
      <c r="B12" s="33" t="n">
        <v>21</v>
      </c>
      <c r="C12" s="33" t="n">
        <v>20</v>
      </c>
      <c r="D12" s="34">
        <f>B12/40*96000/12</f>
        <v/>
      </c>
      <c r="E12" s="34">
        <f>C12/40*84000/12</f>
        <v/>
      </c>
      <c r="F12" s="34">
        <f>D12+E12</f>
        <v/>
      </c>
      <c r="G12" s="34">
        <f>IF(D12&gt;=8000,D12*0.6,IF(D12&gt;=7000,D12*0.61,IF(D12&gt;=6000,D12*0.62,IF(D12&gt;=5000,D12*0.64,IF(D12&gt;=4000,D12*0.66,IF(D12&gt;=3000,D12*0.68,D12*0.70))))))</f>
        <v/>
      </c>
      <c r="H12" s="34">
        <f>IF(E12&gt;=8000,E12*0.6,IF(E12&gt;=7000,E12*0.61,IF(E12&gt;=6000,E12*0.62,IF(E12&gt;=5000,E12*0.64,IF(E12&gt;=4000,E12*0.66,IF(E12&gt;=3000,E12*0.68,E12*0.70))))))</f>
        <v/>
      </c>
      <c r="I12" s="34">
        <f>G12+H12</f>
        <v/>
      </c>
      <c r="J12" s="34" t="n">
        <v>106</v>
      </c>
      <c r="K12" s="38">
        <f>I12-J12</f>
        <v/>
      </c>
      <c r="L12" s="33" t="inlineStr">
        <is>
          <t>maximal</t>
        </is>
      </c>
    </row>
    <row r="13">
      <c r="A13" s="32" t="inlineStr">
        <is>
          <t>V10 TM 20h + Paul 35h(4d) + Dom 20h</t>
        </is>
      </c>
      <c r="B13" s="33" t="n">
        <v>35</v>
      </c>
      <c r="C13" s="33" t="n">
        <v>20</v>
      </c>
      <c r="D13" s="34">
        <f>B13/40*96000/12</f>
        <v/>
      </c>
      <c r="E13" s="34">
        <f>C13/40*84000/12</f>
        <v/>
      </c>
      <c r="F13" s="34">
        <f>D13+E13</f>
        <v/>
      </c>
      <c r="G13" s="34">
        <f>IF(D13&gt;=8000,D13*0.6,IF(D13&gt;=7000,D13*0.61,IF(D13&gt;=6000,D13*0.62,IF(D13&gt;=5000,D13*0.64,IF(D13&gt;=4000,D13*0.66,IF(D13&gt;=3000,D13*0.68,D13*0.70))))))</f>
        <v/>
      </c>
      <c r="H13" s="34">
        <f>IF(E13&gt;=8000,E13*0.6,IF(E13&gt;=7000,E13*0.61,IF(E13&gt;=6000,E13*0.62,IF(E13&gt;=5000,E13*0.64,IF(E13&gt;=4000,E13*0.66,IF(E13&gt;=3000,E13*0.68,E13*0.70))))))</f>
        <v/>
      </c>
      <c r="I13" s="34">
        <f>G13+H13</f>
        <v/>
      </c>
      <c r="J13" s="34" t="n">
        <v>254</v>
      </c>
      <c r="K13" s="38">
        <f>I13-J13</f>
        <v/>
      </c>
      <c r="L13" s="33" t="inlineStr">
        <is>
          <t>hoch (Paul Fr frei)</t>
        </is>
      </c>
    </row>
    <row r="14">
      <c r="A14" s="32" t="inlineStr">
        <is>
          <t>V11 TM 16h + Paul 35h(4d) + Dom 20h</t>
        </is>
      </c>
      <c r="B14" s="33" t="n">
        <v>35</v>
      </c>
      <c r="C14" s="33" t="n">
        <v>20</v>
      </c>
      <c r="D14" s="34">
        <f>B14/40*96000/12</f>
        <v/>
      </c>
      <c r="E14" s="34">
        <f>C14/40*84000/12</f>
        <v/>
      </c>
      <c r="F14" s="34">
        <f>D14+E14</f>
        <v/>
      </c>
      <c r="G14" s="34">
        <f>IF(D14&gt;=8000,D14*0.6,IF(D14&gt;=7000,D14*0.61,IF(D14&gt;=6000,D14*0.62,IF(D14&gt;=5000,D14*0.64,IF(D14&gt;=4000,D14*0.66,IF(D14&gt;=3000,D14*0.68,D14*0.70))))))</f>
        <v/>
      </c>
      <c r="H14" s="34">
        <f>IF(E14&gt;=8000,E14*0.6,IF(E14&gt;=7000,E14*0.61,IF(E14&gt;=6000,E14*0.62,IF(E14&gt;=5000,E14*0.64,IF(E14&gt;=4000,E14*0.66,IF(E14&gt;=3000,E14*0.68,E14*0.70))))))</f>
        <v/>
      </c>
      <c r="I14" s="34">
        <f>G14+H14</f>
        <v/>
      </c>
      <c r="J14" s="34" t="n">
        <v>197</v>
      </c>
      <c r="K14" s="38">
        <f>I14-J14</f>
        <v/>
      </c>
      <c r="L14" s="33" t="inlineStr">
        <is>
          <t>hoch (Paul Fr frei)</t>
        </is>
      </c>
    </row>
    <row r="17">
      <c r="A17" s="9" t="inlineStr">
        <is>
          <t>* Eltern-Zeit qualitativ: verfügbare Aufmerksamkeit für Niklas im Wochenmittel.</t>
        </is>
      </c>
    </row>
    <row r="18">
      <c r="A18" s="9" t="inlineStr">
        <is>
          <t>Während HO ist Eigen-Betreuung nur zu ca. 50 % möglich.</t>
        </is>
      </c>
    </row>
    <row r="19">
      <c r="A19" s="9" t="inlineStr">
        <is>
          <t>TM-Kosten gem. Anlage 1a Landkreis Tübingen, gültig 01.01.2026 – 31.08.2026, 'unter 3 J.'.</t>
        </is>
      </c>
    </row>
    <row r="20">
      <c r="A20" s="9" t="inlineStr">
        <is>
          <t>Einkommensgruppe = (Brutto Haushalt − 30 %) gem. Satzung § 3 (2).</t>
        </is>
      </c>
    </row>
    <row r="21">
      <c r="A21" s="9" t="inlineStr">
        <is>
          <t>Netto: Schätzung Steuerklasse IV/IV, verheiratet, 1 Kind, 2026 (brutto-netto-rechner.info).</t>
        </is>
      </c>
    </row>
    <row r="22">
      <c r="A22" s="9" t="inlineStr">
        <is>
          <t>Netto-Faktoren je Brutto/Mon: ≥8000=60%, ≥7000=61%, ≥6000=62%, ≥5000=64%, ≥4000=66%, ≥3000=68%, sonst 70%.</t>
        </is>
      </c>
    </row>
    <row r="23">
      <c r="A23" s="9" t="inlineStr">
        <is>
          <t>V10/V11: TM-Zeitfenster abweichend von Standard 07:30-13:00 (siehe jeweiliges Blatt).</t>
        </is>
      </c>
    </row>
  </sheetData>
  <mergeCells count="8">
    <mergeCell ref="A20:L20"/>
    <mergeCell ref="A19:L19"/>
    <mergeCell ref="A1:L1"/>
    <mergeCell ref="A23:L23"/>
    <mergeCell ref="A22:L22"/>
    <mergeCell ref="A17:L17"/>
    <mergeCell ref="A18:L18"/>
    <mergeCell ref="A21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2026-04-28T19:04:28Z</dcterms:created>
  <dcterms:modified xmlns:dcterms="http://purl.org/dc/terms/" xmlns:xsi="http://www.w3.org/2001/XMLSchema-instance" xsi:type="dcterms:W3CDTF">2026-04-28T19:04:28Z</dcterms:modified>
</cp:coreProperties>
</file>