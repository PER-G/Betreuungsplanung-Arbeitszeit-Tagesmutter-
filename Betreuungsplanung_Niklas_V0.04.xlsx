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ul Elias\Desktop\PRU\Tom-Hardy Betreuung\"/>
    </mc:Choice>
  </mc:AlternateContent>
  <xr:revisionPtr revIDLastSave="0" documentId="13_ncr:1_{54A59D96-F7E1-478E-AEF3-19261A19A827}" xr6:coauthVersionLast="47" xr6:coauthVersionMax="47" xr10:uidLastSave="{00000000-0000-0000-0000-000000000000}"/>
  <bookViews>
    <workbookView xWindow="2280" yWindow="0" windowWidth="16410" windowHeight="15280" firstSheet="10" activeTab="10" xr2:uid="{00000000-000D-0000-FFFF-FFFF00000000}"/>
  </bookViews>
  <sheets>
    <sheet name="Übersicht" sheetId="1" r:id="rId1"/>
    <sheet name="V1 Beide Vollzeit" sheetId="2" r:id="rId2"/>
    <sheet name="V2 Dom 50%" sheetId="3" r:id="rId3"/>
    <sheet name="V3 Beide 35h" sheetId="4" r:id="rId4"/>
    <sheet name="V4 Paul 28h" sheetId="5" r:id="rId5"/>
    <sheet name="V5 Paul 21h" sheetId="6" r:id="rId6"/>
    <sheet name="V6 TM 5d Vollzeit" sheetId="7" r:id="rId7"/>
    <sheet name="V7 TM 5d Beide 35h" sheetId="8" r:id="rId8"/>
    <sheet name="V8 TM 3d Paul28 Dom50" sheetId="9" r:id="rId9"/>
    <sheet name="V9 TM 2d Paul21 Dom50" sheetId="10" r:id="rId10"/>
    <sheet name="V10 TM 20h Paul35-4d" sheetId="11" r:id="rId11"/>
    <sheet name="V11 TM 16h Paul35-4d" sheetId="12" r:id="rId12"/>
    <sheet name="V12 TM 24h Paul35-4d" sheetId="13" r:id="rId13"/>
    <sheet name="Vergleich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4" l="1"/>
  <c r="E15" i="14"/>
  <c r="H15" i="14" s="1"/>
  <c r="D15" i="14"/>
  <c r="G15" i="14" s="1"/>
  <c r="I15" i="14" s="1"/>
  <c r="K15" i="14" s="1"/>
  <c r="E14" i="14"/>
  <c r="H14" i="14" s="1"/>
  <c r="D14" i="14"/>
  <c r="G14" i="14" s="1"/>
  <c r="I14" i="14" s="1"/>
  <c r="K14" i="14" s="1"/>
  <c r="I13" i="14"/>
  <c r="K13" i="14" s="1"/>
  <c r="H13" i="14"/>
  <c r="G13" i="14"/>
  <c r="F13" i="14"/>
  <c r="E13" i="14"/>
  <c r="D13" i="14"/>
  <c r="F12" i="14"/>
  <c r="E12" i="14"/>
  <c r="H12" i="14" s="1"/>
  <c r="D12" i="14"/>
  <c r="G12" i="14" s="1"/>
  <c r="E11" i="14"/>
  <c r="H11" i="14" s="1"/>
  <c r="D11" i="14"/>
  <c r="F11" i="14" s="1"/>
  <c r="E10" i="14"/>
  <c r="H10" i="14" s="1"/>
  <c r="D10" i="14"/>
  <c r="G10" i="14" s="1"/>
  <c r="G9" i="14"/>
  <c r="E9" i="14"/>
  <c r="H9" i="14" s="1"/>
  <c r="I9" i="14" s="1"/>
  <c r="K9" i="14" s="1"/>
  <c r="D9" i="14"/>
  <c r="F9" i="14" s="1"/>
  <c r="G8" i="14"/>
  <c r="E8" i="14"/>
  <c r="H8" i="14" s="1"/>
  <c r="I8" i="14" s="1"/>
  <c r="K8" i="14" s="1"/>
  <c r="D8" i="14"/>
  <c r="G7" i="14"/>
  <c r="E7" i="14"/>
  <c r="H7" i="14" s="1"/>
  <c r="I7" i="14" s="1"/>
  <c r="K7" i="14" s="1"/>
  <c r="D7" i="14"/>
  <c r="F7" i="14" s="1"/>
  <c r="H6" i="14"/>
  <c r="G6" i="14"/>
  <c r="I6" i="14" s="1"/>
  <c r="K6" i="14" s="1"/>
  <c r="E6" i="14"/>
  <c r="D6" i="14"/>
  <c r="F6" i="14" s="1"/>
  <c r="G5" i="14"/>
  <c r="I5" i="14" s="1"/>
  <c r="K5" i="14" s="1"/>
  <c r="E5" i="14"/>
  <c r="H5" i="14" s="1"/>
  <c r="D5" i="14"/>
  <c r="G4" i="14"/>
  <c r="E4" i="14"/>
  <c r="F4" i="14" s="1"/>
  <c r="D4" i="14"/>
  <c r="B33" i="13"/>
  <c r="D32" i="13"/>
  <c r="F32" i="13" s="1"/>
  <c r="F31" i="13"/>
  <c r="F33" i="13" s="1"/>
  <c r="B35" i="13" s="1"/>
  <c r="D31" i="13"/>
  <c r="E31" i="13" s="1"/>
  <c r="B33" i="12"/>
  <c r="E32" i="12"/>
  <c r="G32" i="12" s="1"/>
  <c r="H32" i="12" s="1"/>
  <c r="D32" i="12"/>
  <c r="F32" i="12" s="1"/>
  <c r="G31" i="12"/>
  <c r="H31" i="12" s="1"/>
  <c r="H33" i="12" s="1"/>
  <c r="E31" i="12"/>
  <c r="E33" i="12" s="1"/>
  <c r="D31" i="12"/>
  <c r="F31" i="12" s="1"/>
  <c r="F33" i="12" s="1"/>
  <c r="B35" i="12" s="1"/>
  <c r="B33" i="11"/>
  <c r="D32" i="11"/>
  <c r="E32" i="11" s="1"/>
  <c r="G32" i="11" s="1"/>
  <c r="H32" i="11" s="1"/>
  <c r="F31" i="11"/>
  <c r="D31" i="11"/>
  <c r="E31" i="11" s="1"/>
  <c r="B33" i="10"/>
  <c r="D32" i="10"/>
  <c r="F32" i="10" s="1"/>
  <c r="F33" i="10" s="1"/>
  <c r="B35" i="10" s="1"/>
  <c r="G31" i="10"/>
  <c r="H31" i="10" s="1"/>
  <c r="F31" i="10"/>
  <c r="E31" i="10"/>
  <c r="D31" i="10"/>
  <c r="B33" i="9"/>
  <c r="F32" i="9"/>
  <c r="E32" i="9"/>
  <c r="G32" i="9" s="1"/>
  <c r="H32" i="9" s="1"/>
  <c r="D32" i="9"/>
  <c r="D31" i="9"/>
  <c r="F31" i="9" s="1"/>
  <c r="F33" i="9" s="1"/>
  <c r="B35" i="9" s="1"/>
  <c r="B33" i="8"/>
  <c r="F32" i="8"/>
  <c r="D32" i="8"/>
  <c r="E32" i="8" s="1"/>
  <c r="G32" i="8" s="1"/>
  <c r="H32" i="8" s="1"/>
  <c r="D31" i="8"/>
  <c r="E31" i="8" s="1"/>
  <c r="B33" i="7"/>
  <c r="G32" i="7"/>
  <c r="H32" i="7" s="1"/>
  <c r="E32" i="7"/>
  <c r="D32" i="7"/>
  <c r="F32" i="7" s="1"/>
  <c r="F31" i="7"/>
  <c r="F33" i="7" s="1"/>
  <c r="B35" i="7" s="1"/>
  <c r="E31" i="7"/>
  <c r="G31" i="7" s="1"/>
  <c r="D31" i="7"/>
  <c r="B33" i="6"/>
  <c r="F32" i="6"/>
  <c r="D32" i="6"/>
  <c r="E32" i="6" s="1"/>
  <c r="G32" i="6" s="1"/>
  <c r="H32" i="6" s="1"/>
  <c r="D31" i="6"/>
  <c r="F31" i="6" s="1"/>
  <c r="F33" i="6" s="1"/>
  <c r="B35" i="6" s="1"/>
  <c r="F33" i="5"/>
  <c r="B35" i="5" s="1"/>
  <c r="B33" i="5"/>
  <c r="G32" i="5"/>
  <c r="H32" i="5" s="1"/>
  <c r="F32" i="5"/>
  <c r="E32" i="5"/>
  <c r="D32" i="5"/>
  <c r="F31" i="5"/>
  <c r="E31" i="5"/>
  <c r="G31" i="5" s="1"/>
  <c r="D31" i="5"/>
  <c r="B33" i="4"/>
  <c r="D32" i="4"/>
  <c r="F32" i="4" s="1"/>
  <c r="F31" i="4"/>
  <c r="F33" i="4" s="1"/>
  <c r="B35" i="4" s="1"/>
  <c r="D31" i="4"/>
  <c r="E31" i="4" s="1"/>
  <c r="B33" i="3"/>
  <c r="D32" i="3"/>
  <c r="E32" i="3" s="1"/>
  <c r="G32" i="3" s="1"/>
  <c r="H32" i="3" s="1"/>
  <c r="D31" i="3"/>
  <c r="F31" i="3" s="1"/>
  <c r="B33" i="2"/>
  <c r="F32" i="2"/>
  <c r="E32" i="2"/>
  <c r="G32" i="2" s="1"/>
  <c r="H32" i="2" s="1"/>
  <c r="D32" i="2"/>
  <c r="D31" i="2"/>
  <c r="F31" i="2" s="1"/>
  <c r="F33" i="2" s="1"/>
  <c r="B35" i="2" s="1"/>
  <c r="F33" i="3" l="1"/>
  <c r="B35" i="3" s="1"/>
  <c r="I12" i="14"/>
  <c r="K12" i="14" s="1"/>
  <c r="H31" i="7"/>
  <c r="H33" i="7" s="1"/>
  <c r="G33" i="7"/>
  <c r="B37" i="7" s="1"/>
  <c r="H31" i="5"/>
  <c r="H33" i="5" s="1"/>
  <c r="G33" i="5"/>
  <c r="B36" i="5" s="1"/>
  <c r="G31" i="11"/>
  <c r="E33" i="11"/>
  <c r="I4" i="14"/>
  <c r="K4" i="14" s="1"/>
  <c r="G31" i="4"/>
  <c r="E33" i="4"/>
  <c r="H33" i="10"/>
  <c r="G31" i="8"/>
  <c r="E33" i="8"/>
  <c r="F33" i="11"/>
  <c r="B35" i="11" s="1"/>
  <c r="I10" i="14"/>
  <c r="K10" i="14" s="1"/>
  <c r="G31" i="13"/>
  <c r="E32" i="13"/>
  <c r="G32" i="13" s="1"/>
  <c r="H32" i="13" s="1"/>
  <c r="E33" i="5"/>
  <c r="E32" i="10"/>
  <c r="G32" i="10" s="1"/>
  <c r="H32" i="10" s="1"/>
  <c r="E33" i="7"/>
  <c r="F32" i="11"/>
  <c r="H4" i="14"/>
  <c r="G11" i="14"/>
  <c r="I11" i="14" s="1"/>
  <c r="K11" i="14" s="1"/>
  <c r="E31" i="2"/>
  <c r="E31" i="3"/>
  <c r="F14" i="14"/>
  <c r="E31" i="6"/>
  <c r="G33" i="10"/>
  <c r="B37" i="10" s="1"/>
  <c r="F5" i="14"/>
  <c r="F32" i="3"/>
  <c r="E32" i="4"/>
  <c r="G32" i="4" s="1"/>
  <c r="H32" i="4" s="1"/>
  <c r="F31" i="8"/>
  <c r="F33" i="8" s="1"/>
  <c r="B35" i="8" s="1"/>
  <c r="E31" i="9"/>
  <c r="F10" i="14"/>
  <c r="G33" i="12"/>
  <c r="B37" i="12" s="1"/>
  <c r="F8" i="14"/>
  <c r="E33" i="3" l="1"/>
  <c r="G31" i="3"/>
  <c r="H31" i="8"/>
  <c r="H33" i="8" s="1"/>
  <c r="G33" i="8"/>
  <c r="B37" i="8" s="1"/>
  <c r="E33" i="2"/>
  <c r="G31" i="2"/>
  <c r="G33" i="11"/>
  <c r="B37" i="11" s="1"/>
  <c r="H31" i="11"/>
  <c r="H33" i="11" s="1"/>
  <c r="G31" i="9"/>
  <c r="E33" i="9"/>
  <c r="E33" i="13"/>
  <c r="E33" i="10"/>
  <c r="E33" i="6"/>
  <c r="G31" i="6"/>
  <c r="G33" i="4"/>
  <c r="B36" i="4" s="1"/>
  <c r="H31" i="4"/>
  <c r="H33" i="4" s="1"/>
  <c r="H31" i="13"/>
  <c r="H33" i="13" s="1"/>
  <c r="G33" i="13"/>
  <c r="B37" i="13" s="1"/>
  <c r="G33" i="2" l="1"/>
  <c r="B36" i="2" s="1"/>
  <c r="H31" i="2"/>
  <c r="H33" i="2" s="1"/>
  <c r="H31" i="9"/>
  <c r="H33" i="9" s="1"/>
  <c r="G33" i="9"/>
  <c r="B37" i="9" s="1"/>
  <c r="H31" i="3"/>
  <c r="H33" i="3" s="1"/>
  <c r="G33" i="3"/>
  <c r="B36" i="3" s="1"/>
  <c r="H31" i="6"/>
  <c r="H33" i="6" s="1"/>
  <c r="G33" i="6"/>
  <c r="B36" i="6" s="1"/>
</calcChain>
</file>

<file path=xl/sharedStrings.xml><?xml version="1.0" encoding="utf-8"?>
<sst xmlns="http://schemas.openxmlformats.org/spreadsheetml/2006/main" count="4731" uniqueCount="203">
  <si>
    <t>Betreuungsplanung Niklas Tom-Hardy – V0.04</t>
  </si>
  <si>
    <t>Update V0.04: + Variante V12 (Dom Do HO 8h, TM 24h). V0.03: V10/V11 (Paul 35h auf 4 Tage). Zeitraster auf 18:00.</t>
  </si>
  <si>
    <t>Annahmen &amp; Rahmenbedingungen</t>
  </si>
  <si>
    <t>Paul – Vollzeit (40h/Woche)</t>
  </si>
  <si>
    <t>96.000 € / Jahr brutto</t>
  </si>
  <si>
    <t>Dominique – Vollzeit (40h/Woche)</t>
  </si>
  <si>
    <t>84.000 € / Jahr brutto</t>
  </si>
  <si>
    <t>Paul – Anfahrt</t>
  </si>
  <si>
    <t>30 Min. mit Auto</t>
  </si>
  <si>
    <t>Dominique – Anfahrt</t>
  </si>
  <si>
    <t>15 Min. zu Fuß</t>
  </si>
  <si>
    <t>Tagesmutter – Standard-Öffnungszeit</t>
  </si>
  <si>
    <t>07:30 – 13:00 (5,5h/Tag); abweichend in V10/V11</t>
  </si>
  <si>
    <t>Bringen</t>
  </si>
  <si>
    <t>07:30 – Paul mit Auto, Dom. zu Fuß</t>
  </si>
  <si>
    <t>Plan-Raster</t>
  </si>
  <si>
    <t>07:30 – 18:00 in 30-Min-Slots</t>
  </si>
  <si>
    <t>Pausenregel</t>
  </si>
  <si>
    <t>&gt;6h Tag = 0,5h unbezahlte Pause</t>
  </si>
  <si>
    <t>Homeoffice-Regel</t>
  </si>
  <si>
    <t>Während HO ≈ 50% Eigen-Betreuung</t>
  </si>
  <si>
    <t>Niklas – Alter</t>
  </si>
  <si>
    <t>unter 3 Jahre (Anlage 1a 'unter 3 J.')</t>
  </si>
  <si>
    <t>Steuerklassen (Netto)</t>
  </si>
  <si>
    <t>IV/IV, verheiratet, 1 Kind, Schätzung 2026</t>
  </si>
  <si>
    <t>Ziel</t>
  </si>
  <si>
    <t>Möglichst viel Zeit mit Niklas, hohes Einkommen, gute Work-Life-Balance.</t>
  </si>
  <si>
    <t>Inhalte / Blätter</t>
  </si>
  <si>
    <t>V1 – Beide Vollzeit (40h)</t>
  </si>
  <si>
    <t>Ohne TM.</t>
  </si>
  <si>
    <t>V2 – Paul 40h + Dom 50% (20h)</t>
  </si>
  <si>
    <t>V3 – Beide 35h</t>
  </si>
  <si>
    <t>V4 – Paul 28h (4 Tage) + Dom 40h</t>
  </si>
  <si>
    <t>Ohne TM. Paul Fr KOMPLETT FREI.</t>
  </si>
  <si>
    <t>V5 – Paul 21h (3 Tage) + Dom 40h</t>
  </si>
  <si>
    <t>Ohne TM. Paul Do/Fr FREI.</t>
  </si>
  <si>
    <t>V6 – TM 5d + Beide 40h</t>
  </si>
  <si>
    <t>TM Mo-Fr 07:30-13:00.</t>
  </si>
  <si>
    <t>V7 – TM 5d + Beide 35h</t>
  </si>
  <si>
    <t>TM Mo-Fr.</t>
  </si>
  <si>
    <t>V8 – TM 3d + Paul 28h + Dom 50%</t>
  </si>
  <si>
    <t>TM Mo/Mi/Fr.</t>
  </si>
  <si>
    <t>V9 – TM 2d + Paul 21h + Dom 50%</t>
  </si>
  <si>
    <t>TM Mo/Mi.</t>
  </si>
  <si>
    <t>V10 – TM Mo/Di/Do (20h) + Paul 35h(4d) + Dom 20h</t>
  </si>
  <si>
    <t>Paul: Mo/Di HO 9h, Mi Office 9h, Do Office 8h, Fr frei. Dom: Mo/Di Office 8h, Do HO 4h.</t>
  </si>
  <si>
    <t>V11 – TM Mo/Di (16h) + Paul 35h(4d) + Dom 20h</t>
  </si>
  <si>
    <t>Wie V10, aber Tagesmutter nur Mo/Di.</t>
  </si>
  <si>
    <t>V12 – TM Mo/Di/Do je 8h (24h) + Paul 35h(4d) + Dom 24h</t>
  </si>
  <si>
    <t>Dom Do HO 8h statt 4h. TM 24h. Höchstes Einkommen unter den 4-Tage-Modellen.</t>
  </si>
  <si>
    <t>Vergleich</t>
  </si>
  <si>
    <t>Alle Varianten: Brutto, Netto, TM-Kosten, Net-Net.</t>
  </si>
  <si>
    <t>Legende:</t>
  </si>
  <si>
    <t>Büro</t>
  </si>
  <si>
    <t>Homeoffice (HO) – ca. 50% Eigen-Betreuung möglich</t>
  </si>
  <si>
    <t>Pendeln (→Büro / →Home)</t>
  </si>
  <si>
    <t>Pause @ Büro (unbezahlt)</t>
  </si>
  <si>
    <t>Pause @ Zuhause (unbezahlt)</t>
  </si>
  <si>
    <t>Tagesmutter</t>
  </si>
  <si>
    <t>Frei / Eltern-Betreuung</t>
  </si>
  <si>
    <t>Niklas: betreut</t>
  </si>
  <si>
    <t>Niklas: LÜCKE</t>
  </si>
  <si>
    <t>V1 – Beide Vollzeit 40h, ohne Tagesmutter</t>
  </si>
  <si>
    <t>Mo/Di Paul Office + Dom HO; Mi Hybrid (gespiegelt); Do/Fr Paul HO + Dom Office.</t>
  </si>
  <si>
    <t>Wochenplan (07:30–18:00) – Paul / Dom / Niklas-Kontrolle</t>
  </si>
  <si>
    <t>Zeit</t>
  </si>
  <si>
    <t>Montag</t>
  </si>
  <si>
    <t>Dienstag</t>
  </si>
  <si>
    <t>Mittwoch</t>
  </si>
  <si>
    <t>Donnerstag</t>
  </si>
  <si>
    <t>Freitag</t>
  </si>
  <si>
    <t>Paul</t>
  </si>
  <si>
    <t>Dom</t>
  </si>
  <si>
    <t>Niklas</t>
  </si>
  <si>
    <t>07:30</t>
  </si>
  <si>
    <t>→Büro</t>
  </si>
  <si>
    <t>Frei</t>
  </si>
  <si>
    <t>Dom frei</t>
  </si>
  <si>
    <t>Paul frei</t>
  </si>
  <si>
    <t>08:00</t>
  </si>
  <si>
    <t>HO</t>
  </si>
  <si>
    <t>Dom HO</t>
  </si>
  <si>
    <t>Paul HO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</si>
  <si>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</si>
  <si>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</si>
  <si>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</si>
  <si>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</si>
  <si>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</si>
  <si>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</si>
  <si>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</si>
  <si>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</si>
  <si>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Pause</t>
  </si>
  <si>
    <t>Dom Pause</t>
  </si>
  <si>
    <t>→Home</t>
  </si>
  <si>
    <t>Paul Pause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</si>
  <si>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</si>
  <si>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</si>
  <si>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</si>
  <si>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</si>
  <si>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</si>
  <si>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</si>
  <si>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</si>
  <si>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</si>
  <si>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</si>
  <si>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</si>
  <si>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Beide frei</t>
  </si>
  <si>
    <t>17:30</t>
  </si>
  <si>
    <t>Einkommen &amp; Kosten</t>
  </si>
  <si>
    <t>Wochenstd.</t>
  </si>
  <si>
    <t>Vollzeit Brutto/J</t>
  </si>
  <si>
    <t>Anteil</t>
  </si>
  <si>
    <t>Brutto/Mon</t>
  </si>
  <si>
    <t>Brutto/Jahr</t>
  </si>
  <si>
    <t>Netto/Mon (≈)</t>
  </si>
  <si>
    <t>Netto/Jahr (≈)</t>
  </si>
  <si>
    <t>Dominique</t>
  </si>
  <si>
    <t>Haushalt gesamt</t>
  </si>
  <si>
    <t>Haushaltseinkommen lt. Satzung (Brutto -30%)</t>
  </si>
  <si>
    <t>Netto-Haushalt / Monat (ohne TM)</t>
  </si>
  <si>
    <t>Netto-Schätzung: Steuerklasse IV/IV, verheiratet, 1 Kind, 2026 (Quelle: brutto-netto-rechner.info Näherung).</t>
  </si>
  <si>
    <t>V2 – Paul 40h + Dominique 50% (20h), ohne Tagesmutter</t>
  </si>
  <si>
    <t>Dom 5×4h: Mo/Di/Mi HO (Paul Office), Do/Fr Office (Paul HO).</t>
  </si>
  <si>
    <t>P:Pause D:frei</t>
  </si>
  <si>
    <t>P:HO D:frei</t>
  </si>
  <si>
    <t>V3 – Beide 35h, ohne Tagesmutter</t>
  </si>
  <si>
    <t>5×7h pro Person, gegenläufige HO/Office-Verteilung. Mi Hybrid.</t>
  </si>
  <si>
    <t>V4 – Paul 28h (4 Tage) + Dominique 40h, ohne Tagesmutter</t>
  </si>
  <si>
    <t>Paul: Mo/Di Büro 7h, Mi Hybrid, Do HO 7h. Fr KOMPLETT FREI.</t>
  </si>
  <si>
    <t>P:frei D:HO</t>
  </si>
  <si>
    <t>V5 – Paul 21h (3 Tage) + Dominique 40h, ohne Tagesmutter</t>
  </si>
  <si>
    <t>Paul: Mo/Di Büro 7h, Mi HO 7h. Do/Fr komplett FREI.</t>
  </si>
  <si>
    <t>P:HO D:HO</t>
  </si>
  <si>
    <t>P:Pause D:Pause</t>
  </si>
  <si>
    <t>V6 – Tagesmutter Mo-Fr + Beide Vollzeit 40h</t>
  </si>
  <si>
    <t>TM 07:30-13:00 (5×5,5=27,5h, Bracket 25-29h).</t>
  </si>
  <si>
    <t>TM</t>
  </si>
  <si>
    <t>Tagesmutter-Kosten/Monat (Gruppe VII, 25-29h)</t>
  </si>
  <si>
    <t>Netto-Haushalt nach TM-Kosten / Monat</t>
  </si>
  <si>
    <t>→ TM: 5 Tage. 27.5h/Woche. Gruppe VII (Haushalt -30% = 125.999 €)</t>
  </si>
  <si>
    <t>V7 – Tagesmutter Mo-Fr + Beide 35h</t>
  </si>
  <si>
    <t>TM 5×5,5h, Eltern je 35h.</t>
  </si>
  <si>
    <t>Tagesmutter-Kosten/Monat (Gruppe VI, 25-29h)</t>
  </si>
  <si>
    <t>→ TM: 5 Tage. 27.5h/Woche. Gruppe VI (Haushalt -30% = 110.250 €)</t>
  </si>
  <si>
    <t>V8 – Tagesmutter 3 Tage (Mo/Mi/Fr) + Paul 28h + Dominique 50% (20h)</t>
  </si>
  <si>
    <t>Paul: Mo/Mi Office 7h, Do Hybrid 7h, Fr HO 7h, Di FREI. Dom: 5×4h.</t>
  </si>
  <si>
    <t>Tagesmutter-Kosten/Monat (Gruppe IV, 15-19h)</t>
  </si>
  <si>
    <t>→ TM: 3 Tage. 16.5h/Woche. Gruppe IV (Haushalt -30% = 76.440 €)</t>
  </si>
  <si>
    <t>V9 – Tagesmutter 2 Tage (Mo/Mi) + Paul 21h + Dominique 50%</t>
  </si>
  <si>
    <t>Paul: Mo/Mi Office 7h, Fr HO 7h, Di/Do FREI. Dom: 5×4h.</t>
  </si>
  <si>
    <t>Tagesmutter-Kosten/Monat (Gruppe IV, 10-14h)</t>
  </si>
  <si>
    <t>→ TM: 2 Tage. 11.0h/Woche. Gruppe IV (Haushalt -30% = 64.679 €)</t>
  </si>
  <si>
    <t>V10 – Tagesmutter Mo/Di/Do (20h) + Paul 35h auf 4 Tage + Dominique 20h</t>
  </si>
  <si>
    <t>Paul: Mo HO 9h, Di HO 9h, Mi Office 9h, Do Office 8h, Fr FREI. Dom: Mo/Di Office 8h, Mi FREI, Do HO 4h, Fr FREI. TM: Mo 07:30-15:30 (8h), Di 07:30-15:30 (8h), Do 07:30-11:30 (4h).</t>
  </si>
  <si>
    <t>Tagesmutter-Kosten/Monat (Gruppe V, 20-24h)</t>
  </si>
  <si>
    <t>→ TM: 3 Tage. 20.0h/Woche. Gruppe V (Haushalt -30% = 88.200 €)</t>
  </si>
  <si>
    <t>V11 – Tagesmutter Mo/Di (16h) + Paul 35h auf 4 Tage + Dominique 20h</t>
  </si>
  <si>
    <t>Paul/Dom wie V10. TM nur Mo/Di je 8h = 16h. Donnerstag: keine TM, Paul Office, Dom HO 4h – Dom betreut.</t>
  </si>
  <si>
    <t>Tagesmutter-Kosten/Monat (Gruppe V, 15-19h)</t>
  </si>
  <si>
    <t>→ TM: 2 Tage. 16.0h/Woche. Gruppe V (Haushalt -30% = 88.200 €)</t>
  </si>
  <si>
    <t>V12 – Tagesmutter Mo/Di/Do je 8h (24h) + Paul 35h auf 4 Tage + Dominique 24h</t>
  </si>
  <si>
    <t>Paul wie V10. Dom: Mo/Di Office 8h, Do HO 8h, Mi/Fr FREI = 24h. TM: Mo/Di/Do je 07:30-15:30 (8h) = 24h.</t>
  </si>
  <si>
    <t>→ TM: 3 Tage. 24.0h/Woche. Gruppe V (Haushalt -30% = 94.080 €)</t>
  </si>
  <si>
    <t>Variantenvergleich</t>
  </si>
  <si>
    <t>Variante</t>
  </si>
  <si>
    <t>Paul Std/W</t>
  </si>
  <si>
    <t>Dom Std/W</t>
  </si>
  <si>
    <t>Paul Brutto/Mon</t>
  </si>
  <si>
    <t>Dom Brutto/Mon</t>
  </si>
  <si>
    <t>Brutto HH/Mon</t>
  </si>
  <si>
    <t>Paul Netto/Mon</t>
  </si>
  <si>
    <t>Dom Netto/Mon</t>
  </si>
  <si>
    <t>Netto HH/Mon</t>
  </si>
  <si>
    <t>TM/Mon</t>
  </si>
  <si>
    <t>Netto-Net/Mon</t>
  </si>
  <si>
    <t>Eltern-Zeit*</t>
  </si>
  <si>
    <t>V1 Beide Vollzeit</t>
  </si>
  <si>
    <t>niedrig</t>
  </si>
  <si>
    <t>V2 Paul 40h + Dom 50%</t>
  </si>
  <si>
    <t>mittel</t>
  </si>
  <si>
    <t>V3 Beide 35h</t>
  </si>
  <si>
    <t>mittel-hoch</t>
  </si>
  <si>
    <t>V4 Paul 28h + Dom 40h</t>
  </si>
  <si>
    <t>hoch</t>
  </si>
  <si>
    <t>V5 Paul 21h + Dom 40h</t>
  </si>
  <si>
    <t>sehr hoch</t>
  </si>
  <si>
    <t>V6 TM 5d + Beide 40h</t>
  </si>
  <si>
    <t>niedrig (TM stabil)</t>
  </si>
  <si>
    <t>V7 TM 5d + Beide 35h</t>
  </si>
  <si>
    <t>V8 TM 3d + Paul 28h + Dom 50%</t>
  </si>
  <si>
    <t>V9 TM 2d + Paul 21h + Dom 50%</t>
  </si>
  <si>
    <t>maximal</t>
  </si>
  <si>
    <t>V10 TM 20h + Paul 35h(4d) + Dom 20h</t>
  </si>
  <si>
    <t>hoch (Paul Fr frei)</t>
  </si>
  <si>
    <t>V11 TM 16h + Paul 35h(4d) + Dom 20h</t>
  </si>
  <si>
    <t>V12 TM 24h + Paul 35h(4d) + Dom 24h</t>
  </si>
  <si>
    <t>* Eltern-Zeit qualitativ: verfügbare Aufmerksamkeit für Niklas im Wochenmittel.</t>
  </si>
  <si>
    <t>Während HO ist Eigen-Betreuung nur zu ca. 50 % möglich.</t>
  </si>
  <si>
    <t>TM-Kosten gem. Anlage 1a Landkreis Tübingen, gültig 01.01.2026 – 31.08.2026, 'unter 3 J.'.</t>
  </si>
  <si>
    <t>Einkommensgruppe = (Brutto Haushalt − 30 %) gem. Satzung § 3 (2).</t>
  </si>
  <si>
    <t>Netto: Schätzung Steuerklasse IV/IV, verheiratet, 1 Kind, 2026 (brutto-netto-rechner.info).</t>
  </si>
  <si>
    <t>Netto-Faktoren je Brutto/Mon: ≥8000=60%, ≥7000=61%, ≥6000=62%, ≥5000=64%, ≥4000=66%, ≥3000=68%, sonst 70%.</t>
  </si>
  <si>
    <t>V10/V11: TM-Zeitfenster abweichend von Standard 07:30-13:00 (siehe jeweiliges Blatt).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</si>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</sst>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8"/>
      <color rgb="FF1F4E78"/>
      <name val="Arial"/>
    </font>
    <font>
      <i/>
      <sz val="10"/>
      <color rgb="FF666666"/>
      <name val="Arial"/>
    </font>
    <font>
      <b/>
      <sz val="11"/>
      <color rgb="FF1F4E78"/>
      <name val="Arial"/>
    </font>
    <font>
      <b/>
      <sz val="10"/>
      <name val="Arial"/>
    </font>
    <font>
      <sz val="10"/>
      <name val="Arial"/>
    </font>
    <font>
      <i/>
      <sz val="9"/>
      <name val="Arial"/>
    </font>
    <font>
      <b/>
      <sz val="14"/>
      <color rgb="FFFFFFFF"/>
      <name val="Arial"/>
    </font>
    <font>
      <sz val="9"/>
      <name val="Arial"/>
    </font>
  </fonts>
  <fills count="1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F81BD"/>
      </patternFill>
    </fill>
    <fill>
      <patternFill patternType="solid">
        <fgColor rgb="FF9BBB59"/>
      </patternFill>
    </fill>
    <fill>
      <patternFill patternType="solid">
        <fgColor rgb="FFBFBFBF"/>
      </patternFill>
    </fill>
    <fill>
      <patternFill patternType="solid">
        <fgColor rgb="FFF2DCDB"/>
      </patternFill>
    </fill>
    <fill>
      <patternFill patternType="solid">
        <fgColor rgb="FFF8CBAD"/>
      </patternFill>
    </fill>
    <fill>
      <patternFill patternType="solid">
        <fgColor rgb="FFB284BE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F6B6B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0" fontId="5" fillId="0" borderId="1" xfId="0" applyFont="1" applyBorder="1"/>
    <xf numFmtId="0" fontId="4" fillId="0" borderId="0" xfId="0" applyFont="1"/>
    <xf numFmtId="0" fontId="0" fillId="3" borderId="1" xfId="0" applyFill="1" applyBorder="1"/>
    <xf numFmtId="0" fontId="6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7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165" fontId="4" fillId="14" borderId="1" xfId="0" applyNumberFormat="1" applyFont="1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horizontal="center" vertical="center" wrapText="1"/>
    </xf>
    <xf numFmtId="164" fontId="0" fillId="14" borderId="1" xfId="0" applyNumberFormat="1" applyFill="1" applyBorder="1"/>
    <xf numFmtId="164" fontId="4" fillId="14" borderId="1" xfId="0" applyNumberFormat="1" applyFont="1" applyFill="1" applyBorder="1"/>
    <xf numFmtId="164" fontId="0" fillId="15" borderId="1" xfId="0" applyNumberFormat="1" applyFill="1" applyBorder="1"/>
    <xf numFmtId="0" fontId="6" fillId="0" borderId="0" xfId="0" applyFont="1"/>
    <xf numFmtId="0" fontId="0" fillId="0" borderId="0" xfId="0"/>
    <xf numFmtId="0" fontId="5" fillId="0" borderId="0" xfId="0" applyFont="1"/>
    <xf numFmtId="0" fontId="7" fillId="1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7" fillId="12" borderId="0" xfId="0" applyFont="1" applyFill="1" applyAlignment="1">
      <alignment horizontal="center" vertical="center" wrapText="1"/>
    </xf>
    <xf numFmtId="0" fontId="3" fillId="2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8"/>
  <sheetViews>
    <sheetView workbookViewId="0"/>
  </sheetViews>
  <sheetFormatPr baseColWidth="10" defaultColWidth="8.7265625" defaultRowHeight="14.5" x14ac:dyDescent="0.35"/>
  <cols>
    <col min="1" max="1" width="4" customWidth="1"/>
    <col min="2" max="2" width="50" customWidth="1"/>
    <col min="3" max="3" width="38" customWidth="1"/>
  </cols>
  <sheetData>
    <row r="2" spans="2:3" ht="23" x14ac:dyDescent="0.5">
      <c r="B2" s="1" t="s">
        <v>0</v>
      </c>
    </row>
    <row r="3" spans="2:3" x14ac:dyDescent="0.35">
      <c r="B3" s="2" t="s">
        <v>1</v>
      </c>
    </row>
    <row r="5" spans="2:3" x14ac:dyDescent="0.35">
      <c r="B5" s="3" t="s">
        <v>2</v>
      </c>
    </row>
    <row r="6" spans="2:3" x14ac:dyDescent="0.35">
      <c r="B6" s="4" t="s">
        <v>3</v>
      </c>
      <c r="C6" s="5" t="s">
        <v>4</v>
      </c>
    </row>
    <row r="7" spans="2:3" x14ac:dyDescent="0.35">
      <c r="B7" s="4" t="s">
        <v>5</v>
      </c>
      <c r="C7" s="5" t="s">
        <v>6</v>
      </c>
    </row>
    <row r="8" spans="2:3" x14ac:dyDescent="0.35">
      <c r="B8" s="4" t="s">
        <v>7</v>
      </c>
      <c r="C8" s="5" t="s">
        <v>8</v>
      </c>
    </row>
    <row r="9" spans="2:3" x14ac:dyDescent="0.35">
      <c r="B9" s="4" t="s">
        <v>9</v>
      </c>
      <c r="C9" s="5" t="s">
        <v>10</v>
      </c>
    </row>
    <row r="10" spans="2:3" x14ac:dyDescent="0.35">
      <c r="B10" s="4" t="s">
        <v>11</v>
      </c>
      <c r="C10" s="5" t="s">
        <v>12</v>
      </c>
    </row>
    <row r="11" spans="2:3" x14ac:dyDescent="0.35">
      <c r="B11" s="4" t="s">
        <v>13</v>
      </c>
      <c r="C11" s="5" t="s">
        <v>14</v>
      </c>
    </row>
    <row r="12" spans="2:3" x14ac:dyDescent="0.35">
      <c r="B12" s="4" t="s">
        <v>15</v>
      </c>
      <c r="C12" s="5" t="s">
        <v>16</v>
      </c>
    </row>
    <row r="13" spans="2:3" x14ac:dyDescent="0.35">
      <c r="B13" s="4" t="s">
        <v>17</v>
      </c>
      <c r="C13" s="5" t="s">
        <v>18</v>
      </c>
    </row>
    <row r="14" spans="2:3" x14ac:dyDescent="0.35">
      <c r="B14" s="4" t="s">
        <v>19</v>
      </c>
      <c r="C14" s="5" t="s">
        <v>20</v>
      </c>
    </row>
    <row r="15" spans="2:3" x14ac:dyDescent="0.35">
      <c r="B15" s="4" t="s">
        <v>21</v>
      </c>
      <c r="C15" s="5" t="s">
        <v>22</v>
      </c>
    </row>
    <row r="16" spans="2:3" x14ac:dyDescent="0.35">
      <c r="B16" s="4" t="s">
        <v>23</v>
      </c>
      <c r="C16" s="5" t="s">
        <v>24</v>
      </c>
    </row>
    <row r="19" spans="2:4" x14ac:dyDescent="0.35">
      <c r="B19" s="3" t="s">
        <v>25</v>
      </c>
    </row>
    <row r="20" spans="2:4" x14ac:dyDescent="0.35">
      <c r="B20" s="41" t="s">
        <v>26</v>
      </c>
      <c r="C20" s="40"/>
      <c r="D20" s="40"/>
    </row>
    <row r="23" spans="2:4" x14ac:dyDescent="0.35">
      <c r="B23" s="3" t="s">
        <v>27</v>
      </c>
    </row>
    <row r="24" spans="2:4" x14ac:dyDescent="0.35">
      <c r="B24" s="4" t="s">
        <v>28</v>
      </c>
      <c r="C24" s="5" t="s">
        <v>29</v>
      </c>
    </row>
    <row r="25" spans="2:4" x14ac:dyDescent="0.35">
      <c r="B25" s="4" t="s">
        <v>30</v>
      </c>
      <c r="C25" s="5" t="s">
        <v>29</v>
      </c>
    </row>
    <row r="26" spans="2:4" x14ac:dyDescent="0.35">
      <c r="B26" s="4" t="s">
        <v>31</v>
      </c>
      <c r="C26" s="5" t="s">
        <v>29</v>
      </c>
    </row>
    <row r="27" spans="2:4" x14ac:dyDescent="0.35">
      <c r="B27" s="4" t="s">
        <v>32</v>
      </c>
      <c r="C27" s="5" t="s">
        <v>33</v>
      </c>
    </row>
    <row r="28" spans="2:4" x14ac:dyDescent="0.35">
      <c r="B28" s="4" t="s">
        <v>34</v>
      </c>
      <c r="C28" s="5" t="s">
        <v>35</v>
      </c>
    </row>
    <row r="29" spans="2:4" x14ac:dyDescent="0.35">
      <c r="B29" s="4" t="s">
        <v>36</v>
      </c>
      <c r="C29" s="5" t="s">
        <v>37</v>
      </c>
    </row>
    <row r="30" spans="2:4" x14ac:dyDescent="0.35">
      <c r="B30" s="4" t="s">
        <v>38</v>
      </c>
      <c r="C30" s="5" t="s">
        <v>39</v>
      </c>
    </row>
    <row r="31" spans="2:4" x14ac:dyDescent="0.35">
      <c r="B31" s="4" t="s">
        <v>40</v>
      </c>
      <c r="C31" s="5" t="s">
        <v>41</v>
      </c>
    </row>
    <row r="32" spans="2:4" x14ac:dyDescent="0.35">
      <c r="B32" s="4" t="s">
        <v>42</v>
      </c>
      <c r="C32" s="5" t="s">
        <v>43</v>
      </c>
    </row>
    <row r="33" spans="1:5" x14ac:dyDescent="0.35">
      <c r="B33" s="4" t="s">
        <v>44</v>
      </c>
      <c r="C33" s="5" t="s">
        <v>45</v>
      </c>
    </row>
    <row r="34" spans="1:5" x14ac:dyDescent="0.35">
      <c r="B34" s="4" t="s">
        <v>46</v>
      </c>
      <c r="C34" s="5" t="s">
        <v>47</v>
      </c>
    </row>
    <row r="35" spans="1:5" x14ac:dyDescent="0.35">
      <c r="B35" s="4" t="s">
        <v>48</v>
      </c>
      <c r="C35" s="5" t="s">
        <v>49</v>
      </c>
    </row>
    <row r="36" spans="1:5" x14ac:dyDescent="0.35">
      <c r="B36" s="4" t="s">
        <v>50</v>
      </c>
      <c r="C36" s="5" t="s">
        <v>51</v>
      </c>
    </row>
    <row r="39" spans="1:5" x14ac:dyDescent="0.35">
      <c r="A39" s="6" t="s">
        <v>52</v>
      </c>
    </row>
    <row r="40" spans="1:5" x14ac:dyDescent="0.35">
      <c r="A40" s="7"/>
      <c r="B40" s="39" t="s">
        <v>53</v>
      </c>
      <c r="C40" s="40"/>
      <c r="D40" s="40"/>
      <c r="E40" s="40"/>
    </row>
    <row r="41" spans="1:5" x14ac:dyDescent="0.35">
      <c r="A41" s="9"/>
      <c r="B41" s="39" t="s">
        <v>54</v>
      </c>
      <c r="C41" s="40"/>
      <c r="D41" s="40"/>
      <c r="E41" s="40"/>
    </row>
    <row r="42" spans="1:5" x14ac:dyDescent="0.35">
      <c r="A42" s="10"/>
      <c r="B42" s="39" t="s">
        <v>55</v>
      </c>
      <c r="C42" s="40"/>
      <c r="D42" s="40"/>
      <c r="E42" s="40"/>
    </row>
    <row r="43" spans="1:5" x14ac:dyDescent="0.35">
      <c r="A43" s="11"/>
      <c r="B43" s="39" t="s">
        <v>56</v>
      </c>
      <c r="C43" s="40"/>
      <c r="D43" s="40"/>
      <c r="E43" s="40"/>
    </row>
    <row r="44" spans="1:5" x14ac:dyDescent="0.35">
      <c r="A44" s="12"/>
      <c r="B44" s="39" t="s">
        <v>57</v>
      </c>
      <c r="C44" s="40"/>
      <c r="D44" s="40"/>
      <c r="E44" s="40"/>
    </row>
    <row r="45" spans="1:5" x14ac:dyDescent="0.35">
      <c r="A45" s="13"/>
      <c r="B45" s="39" t="s">
        <v>58</v>
      </c>
      <c r="C45" s="40"/>
      <c r="D45" s="40"/>
      <c r="E45" s="40"/>
    </row>
    <row r="46" spans="1:5" x14ac:dyDescent="0.35">
      <c r="A46" s="14"/>
      <c r="B46" s="39" t="s">
        <v>59</v>
      </c>
      <c r="C46" s="40"/>
      <c r="D46" s="40"/>
      <c r="E46" s="40"/>
    </row>
    <row r="47" spans="1:5" x14ac:dyDescent="0.35">
      <c r="A47" s="15"/>
      <c r="B47" s="39" t="s">
        <v>60</v>
      </c>
      <c r="C47" s="40"/>
      <c r="D47" s="40"/>
      <c r="E47" s="40"/>
    </row>
    <row r="48" spans="1:5" x14ac:dyDescent="0.35">
      <c r="A48" s="16"/>
      <c r="B48" s="39" t="s">
        <v>61</v>
      </c>
      <c r="C48" s="40"/>
      <c r="D48" s="40"/>
      <c r="E48" s="40"/>
    </row>
  </sheetData>
  <mergeCells count="10">
    <mergeCell ref="B48:E48"/>
    <mergeCell ref="B47:E47"/>
    <mergeCell ref="B42:E42"/>
    <mergeCell ref="B46:E46"/>
    <mergeCell ref="B20:D20"/>
    <mergeCell ref="B45:E45"/>
    <mergeCell ref="B40:E40"/>
    <mergeCell ref="B41:E41"/>
    <mergeCell ref="B43:E43"/>
    <mergeCell ref="B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"/>
  <sheetViews>
    <sheetView workbookViewId="0"/>
  </sheetViews>
  <sheetFormatPr baseColWidth="10" defaultColWidth="8.7265625" defaultRowHeight="14.5" x14ac:dyDescent="0.35"/>
  <cols>
    <col min="1" max="1" width="8" customWidth="1"/>
    <col min="2" max="16" width="11" customWidth="1"/>
  </cols>
  <sheetData>
    <row r="1" spans="1:16" x14ac:dyDescent="0.35">
      <c r="A1" s="44" t="s">
        <v>62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35">
      <c r="A2" s="39" t="s">
        <v>63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16" x14ac:dyDescent="0.35">
      <c r="A4" s="43" t="s">
        <v>64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18" x14ac:dyDescent="0.35">
      <c r="A5" s="17" t="s">
        <v>65</v>
      </c>
      <c r="B5" s="42" t="s">
        <v>66</v>
      </c>
      <c r="C5" s="40"/>
      <c r="D5" s="40"/>
      <c r="E5" s="42" t="s">
        <v>67</v>
      </c>
      <c r="F5" s="40"/>
      <c r="G5" s="40"/>
      <c r="H5" s="42" t="s">
        <v>68</v>
      </c>
      <c r="I5" s="40"/>
      <c r="J5" s="40"/>
      <c r="K5" s="42" t="s">
        <v>69</v>
      </c>
      <c r="L5" s="40"/>
      <c r="M5" s="40"/>
      <c r="N5" s="42" t="s">
        <v>70</v>
      </c>
      <c r="O5" s="40"/>
      <c r="P5" s="40"/>
    </row>
    <row r="6" spans="1:16" x14ac:dyDescent="0.35">
      <c r="A6" s="18"/>
      <c r="B6" s="19" t="s">
        <v>71</v>
      </c>
      <c r="C6" s="19" t="s">
        <v>72</v>
      </c>
      <c r="D6" s="19" t="s">
        <v>73</v>
      </c>
      <c r="E6" s="19" t="s">
        <v>71</v>
      </c>
      <c r="F6" s="19" t="s">
        <v>72</v>
      </c>
      <c r="G6" s="19" t="s">
        <v>73</v>
      </c>
      <c r="H6" s="19" t="s">
        <v>71</v>
      </c>
      <c r="I6" s="19" t="s">
        <v>72</v>
      </c>
      <c r="J6" s="19" t="s">
        <v>73</v>
      </c>
      <c r="K6" s="19" t="s">
        <v>71</v>
      </c>
      <c r="L6" s="19" t="s">
        <v>72</v>
      </c>
      <c r="M6" s="19" t="s">
        <v>73</v>
      </c>
      <c r="N6" s="19" t="s">
        <v>71</v>
      </c>
      <c r="O6" s="19" t="s">
        <v>72</v>
      </c>
      <c r="P6" s="19" t="s">
        <v>73</v>
      </c>
    </row>
    <row r="7" spans="1:16" x14ac:dyDescent="0.35">
      <c r="A7" s="20" t="s">
        <v>74</v>
      </c>
      <c r="B7" s="21" t="s">
        <v>75</v>
      </c>
      <c r="C7" s="22" t="s">
        <v>76</v>
      </c>
      <c r="D7" s="23" t="s">
        <v>77</v>
      </c>
      <c r="E7" s="21" t="s">
        <v>75</v>
      </c>
      <c r="F7" s="22" t="s">
        <v>76</v>
      </c>
      <c r="G7" s="23" t="s">
        <v>77</v>
      </c>
      <c r="H7" s="21" t="s">
        <v>75</v>
      </c>
      <c r="I7" s="22" t="s">
        <v>76</v>
      </c>
      <c r="J7" s="23" t="s">
        <v>77</v>
      </c>
      <c r="K7" s="22" t="s">
        <v>76</v>
      </c>
      <c r="L7" s="21" t="s">
        <v>75</v>
      </c>
      <c r="M7" s="23" t="s">
        <v>78</v>
      </c>
      <c r="N7" s="22" t="s">
        <v>76</v>
      </c>
      <c r="O7" s="21" t="s">
        <v>75</v>
      </c>
      <c r="P7" s="23" t="s">
        <v>78</v>
      </c>
    </row>
    <row r="8" spans="1:16" x14ac:dyDescent="0.35">
      <c r="A8" s="20" t="s">
        <v>79</v>
      </c>
      <c r="B8" s="24" t="s">
        <v>53</v>
      </c>
      <c r="C8" s="25" t="s">
        <v>80</v>
      </c>
      <c r="D8" s="23" t="s">
        <v>81</v>
      </c>
      <c r="E8" s="24" t="s">
        <v>53</v>
      </c>
      <c r="F8" s="25" t="s">
        <v>80</v>
      </c>
      <c r="G8" s="23" t="s">
        <v>81</v>
      </c>
      <c r="H8" s="24" t="s">
        <v>53</v>
      </c>
      <c r="I8" s="25" t="s">
        <v>80</v>
      </c>
      <c r="J8" s="23" t="s">
        <v>81</v>
      </c>
      <c r="K8" s="25" t="s">
        <v>80</v>
      </c>
      <c r="L8" s="24" t="s">
        <v>53</v>
      </c>
      <c r="M8" s="23" t="s">
        <v>82</v>
      </c>
      <c r="N8" s="25" t="s">
        <v>80</v>
      </c>
      <c r="O8" s="24" t="s">
        <v>53</v>
      </c>
      <c r="P8" s="23" t="s">
        <v>82</v>
      </c>
    </row>
    <row r="9" spans="1:16" x14ac:dyDescent="0.35">
      <c r="A9" s="20" t="s">
        <v>83</v>
      </c>
      <c r="B9" s="24" t="s">
        <v>53</v>
      </c>
      <c r="C9" s="25" t="s">
        <v>80</v>
      </c>
      <c r="D9" s="23" t="s">
        <v>81</v>
      </c>
      <c r="E9" s="24" t="s">
        <v>53</v>
      </c>
      <c r="F9" s="25" t="s">
        <v>80</v>
      </c>
      <c r="G9" s="23" t="s">
        <v>81</v>
      </c>
      <c r="H9" s="24" t="s">
        <v>53</v>
      </c>
      <c r="I9" s="25" t="s">
        <v>80</v>
      </c>
      <c r="J9" s="23" t="s">
        <v>81</v>
      </c>
      <c r="K9" s="25" t="s">
        <v>80</v>
      </c>
      <c r="L9" s="24" t="s">
        <v>53</v>
      </c>
      <c r="M9" s="23" t="s">
        <v>82</v>
      </c>
      <c r="N9" s="25" t="s">
        <v>80</v>
      </c>
      <c r="O9" s="24" t="s">
        <v>53</v>
      </c>
      <c r="P9" s="23" t="s">
        <v>82</v>
      </c>
    </row>
    <row r="10" spans="1:16" x14ac:dyDescent="0.35">
      <c r="A10" s="20" t="s">
        <v>84</v>
      </c>
      <c r="B10" s="24" t="s">
        <v>53</v>
      </c>
      <c r="C10" s="25" t="s">
        <v>80</v>
      </c>
      <c r="D10" s="23" t="s">
        <v>81</v>
      </c>
      <c r="E10" s="24" t="s">
        <v>53</v>
      </c>
      <c r="F10" s="25" t="s">
        <v>80</v>
      </c>
      <c r="G10" s="23" t="s">
        <v>81</v>
      </c>
      <c r="H10" s="24" t="s">
        <v>53</v>
      </c>
      <c r="I10" s="25" t="s">
        <v>80</v>
      </c>
      <c r="J10" s="23" t="s">
        <v>81</v>
      </c>
      <c r="K10" s="25" t="s">
        <v>80</v>
      </c>
      <c r="L10" s="24" t="s">
        <v>53</v>
      </c>
      <c r="M10" s="23" t="s">
        <v>82</v>
      </c>
      <c r="N10" s="25" t="s">
        <v>80</v>
      </c>
      <c r="O10" s="24" t="s">
        <v>53</v>
      </c>
      <c r="P10" s="23" t="s">
        <v>82</v>
      </c>
    </row>
    <row r="11" spans="1:16" x14ac:dyDescent="0.35">
      <c r="A11" s="20" t="s">
        <v>85</v>
      </c>
      <c r="B11" s="24" t="s">
        <v>53</v>
      </c>
      <c r="C11" s="25" t="s">
        <v>80</v>
      </c>
      <c r="D11" s="23" t="s">
        <v>81</v>
      </c>
      <c r="E11" s="24" t="s">
        <v>53</v>
      </c>
      <c r="F11" s="25" t="s">
        <v>80</v>
      </c>
      <c r="G11" s="23" t="s">
        <v>81</v>
      </c>
      <c r="H11" s="24" t="s">
        <v>53</v>
      </c>
      <c r="I11" s="25" t="s">
        <v>80</v>
      </c>
      <c r="J11" s="23" t="s">
        <v>81</v>
      </c>
      <c r="K11" s="25" t="s">
        <v>80</v>
      </c>
      <c r="L11" s="24" t="s">
        <v>53</v>
      </c>
      <c r="M11" s="23" t="s">
        <v>82</v>
      </c>
      <c r="N11" s="25" t="s">
        <v>80</v>
      </c>
      <c r="O11" s="24" t="s">
        <v>53</v>
      </c>
      <c r="P11" s="23" t="s">
        <v>82</v>
      </c>
    </row>
    <row r="12" spans="1:16" x14ac:dyDescent="0.35">
      <c r="A12" s="20" t="s">
        <v>86</v>
      </c>
      <c r="B12" s="24" t="s">
        <v>53</v>
      </c>
      <c r="C12" s="25" t="s">
        <v>80</v>
      </c>
      <c r="D12" s="23" t="s">
        <v>81</v>
      </c>
      <c r="E12" s="24" t="s">
        <v>53</v>
      </c>
      <c r="F12" s="25" t="s">
        <v>80</v>
      </c>
      <c r="G12" s="23" t="s">
        <v>81</v>
      </c>
      <c r="H12" s="24" t="s">
        <v>53</v>
      </c>
      <c r="I12" s="25" t="s">
        <v>80</v>
      </c>
      <c r="J12" s="23" t="s">
        <v>81</v>
      </c>
      <c r="K12" s="25" t="s">
        <v>80</v>
      </c>
      <c r="L12" s="24" t="s">
        <v>53</v>
      </c>
      <c r="M12" s="23" t="s">
        <v>82</v>
      </c>
      <c r="N12" s="25" t="s">
        <v>80</v>
      </c>
      <c r="O12" s="24" t="s">
        <v>53</v>
      </c>
      <c r="P12" s="23" t="s">
        <v>82</v>
      </c>
    </row>
    <row r="13" spans="1:16" x14ac:dyDescent="0.35">
      <c r="A13" s="20" t="s">
        <v>87</v>
      </c>
      <c r="B13" s="24" t="s">
        <v>53</v>
      </c>
      <c r="C13" s="25" t="s">
        <v>80</v>
      </c>
      <c r="D13" s="23" t="s">
        <v>81</v>
      </c>
      <c r="E13" s="24" t="s">
        <v>53</v>
      </c>
      <c r="F13" s="25" t="s">
        <v>80</v>
      </c>
      <c r="G13" s="23" t="s">
        <v>81</v>
      </c>
      <c r="H13" s="24" t="s">
        <v>53</v>
      </c>
      <c r="I13" s="25" t="s">
        <v>80</v>
      </c>
      <c r="J13" s="23" t="s">
        <v>81</v>
      </c>
      <c r="K13" s="25" t="s">
        <v>80</v>
      </c>
      <c r="L13" s="24" t="s">
        <v>53</v>
      </c>
      <c r="M13" s="23" t="s">
        <v>82</v>
      </c>
      <c r="N13" s="25" t="s">
        <v>80</v>
      </c>
      <c r="O13" s="24" t="s">
        <v>53</v>
      </c>
      <c r="P13" s="23" t="s">
        <v>82</v>
      </c>
    </row>
    <row r="14" spans="1:16" x14ac:dyDescent="0.35">
      <c r="A14" s="20" t="s">
        <v>88</v>
      </c>
      <c r="B14" s="24" t="s">
        <v>53</v>
      </c>
      <c r="C14" s="25" t="s">
        <v>80</v>
      </c>
      <c r="D14" s="23" t="s">
        <v>81</v>
      </c>
      <c r="E14" s="24" t="s">
        <v>53</v>
      </c>
      <c r="F14" s="25" t="s">
        <v>80</v>
      </c>
      <c r="G14" s="23" t="s">
        <v>81</v>
      </c>
      <c r="H14" s="24" t="s">
        <v>53</v>
      </c>
      <c r="I14" s="25" t="s">
        <v>80</v>
      </c>
      <c r="J14" s="23" t="s">
        <v>81</v>
      </c>
      <c r="K14" s="25" t="s">
        <v>80</v>
      </c>
      <c r="L14" s="24" t="s">
        <v>53</v>
      </c>
      <c r="M14" s="23" t="s">
        <v>82</v>
      </c>
      <c r="N14" s="25" t="s">
        <v>80</v>
      </c>
      <c r="O14" s="24" t="s">
        <v>53</v>
      </c>
      <c r="P14" s="23" t="s">
        <v>82</v>
      </c>
    </row>
    <row r="15" spans="1:16" x14ac:dyDescent="0.35">
      <c r="A15" s="20" t="s">
        <v>89</v>
      </c>
      <c r="B15" s="24" t="s">
        <v>53</v>
      </c>
      <c r="C15" s="25" t="s">
        <v>80</v>
      </c>
      <c r="D15" s="23" t="s">
        <v>81</v>
      </c>
      <c r="E15" s="24" t="s">
        <v>53</v>
      </c>
      <c r="F15" s="25" t="s">
        <v>80</v>
      </c>
      <c r="G15" s="23" t="s">
        <v>81</v>
      </c>
      <c r="H15" s="24" t="s">
        <v>53</v>
      </c>
      <c r="I15" s="25" t="s">
        <v>80</v>
      </c>
      <c r="J15" s="23" t="s">
        <v>81</v>
      </c>
      <c r="K15" s="25" t="s">
        <v>80</v>
      </c>
      <c r="L15" s="24" t="s">
        <v>53</v>
      </c>
      <c r="M15" s="23" t="s">
        <v>82</v>
      </c>
      <c r="N15" s="25" t="s">
        <v>80</v>
      </c>
      <c r="O15" s="24" t="s">
        <v>53</v>
      </c>
      <c r="P15" s="23" t="s">
        <v>82</v>
      </c>
    </row>
    <row r="16" spans="1:16" x14ac:dyDescent="0.35">
      <c r="A16" s="20" t="s">
        <v>90</v>
      </c>
      <c r="B16" s="26" t="s">
        <v>91</v>
      </c>
      <c r="C16" s="27" t="s">
        <v>91</v>
      </c>
      <c r="D16" s="23" t="s">
        <v>92</v>
      </c>
      <c r="E16" s="26" t="s">
        <v>91</v>
      </c>
      <c r="F16" s="27" t="s">
        <v>91</v>
      </c>
      <c r="G16" s="23" t="s">
        <v>92</v>
      </c>
      <c r="H16" s="21" t="s">
        <v>93</v>
      </c>
      <c r="I16" s="27" t="s">
        <v>91</v>
      </c>
      <c r="J16" s="23" t="s">
        <v>92</v>
      </c>
      <c r="K16" s="27" t="s">
        <v>91</v>
      </c>
      <c r="L16" s="26" t="s">
        <v>91</v>
      </c>
      <c r="M16" s="23" t="s">
        <v>94</v>
      </c>
      <c r="N16" s="27" t="s">
        <v>91</v>
      </c>
      <c r="O16" s="26" t="s">
        <v>91</v>
      </c>
      <c r="P16" s="23" t="s">
        <v>94</v>
      </c>
    </row>
    <row r="17" spans="1:16" x14ac:dyDescent="0.35">
      <c r="A17" s="20" t="s">
        <v>95</v>
      </c>
      <c r="B17" s="24" t="s">
        <v>53</v>
      </c>
      <c r="C17" s="25" t="s">
        <v>80</v>
      </c>
      <c r="D17" s="23" t="s">
        <v>81</v>
      </c>
      <c r="E17" s="24" t="s">
        <v>53</v>
      </c>
      <c r="F17" s="25" t="s">
        <v>80</v>
      </c>
      <c r="G17" s="23" t="s">
        <v>81</v>
      </c>
      <c r="H17" s="27" t="s">
        <v>91</v>
      </c>
      <c r="I17" s="21" t="s">
        <v>75</v>
      </c>
      <c r="J17" s="23" t="s">
        <v>94</v>
      </c>
      <c r="K17" s="25" t="s">
        <v>80</v>
      </c>
      <c r="L17" s="24" t="s">
        <v>53</v>
      </c>
      <c r="M17" s="23" t="s">
        <v>82</v>
      </c>
      <c r="N17" s="25" t="s">
        <v>80</v>
      </c>
      <c r="O17" s="24" t="s">
        <v>53</v>
      </c>
      <c r="P17" s="23" t="s">
        <v>82</v>
      </c>
    </row>
    <row r="18" spans="1:16" x14ac:dyDescent="0.35">
      <c r="A18" s="20" t="s">
        <v>96</v>
      </c>
      <c r="B18" s="24" t="s">
        <v>53</v>
      </c>
      <c r="C18" s="25" t="s">
        <v>80</v>
      </c>
      <c r="D18" s="23" t="s">
        <v>81</v>
      </c>
      <c r="E18" s="24" t="s">
        <v>53</v>
      </c>
      <c r="F18" s="25" t="s">
        <v>80</v>
      </c>
      <c r="G18" s="23" t="s">
        <v>81</v>
      </c>
      <c r="H18" s="25" t="s">
        <v>80</v>
      </c>
      <c r="I18" s="24" t="s">
        <v>53</v>
      </c>
      <c r="J18" s="23" t="s">
        <v>82</v>
      </c>
      <c r="K18" s="25" t="s">
        <v>80</v>
      </c>
      <c r="L18" s="24" t="s">
        <v>53</v>
      </c>
      <c r="M18" s="23" t="s">
        <v>82</v>
      </c>
      <c r="N18" s="25" t="s">
        <v>80</v>
      </c>
      <c r="O18" s="24" t="s">
        <v>53</v>
      </c>
      <c r="P18" s="23" t="s">
        <v>82</v>
      </c>
    </row>
    <row r="19" spans="1:16" x14ac:dyDescent="0.35">
      <c r="A19" s="20" t="s">
        <v>97</v>
      </c>
      <c r="B19" s="24" t="s">
        <v>53</v>
      </c>
      <c r="C19" s="25" t="s">
        <v>80</v>
      </c>
      <c r="D19" s="23" t="s">
        <v>81</v>
      </c>
      <c r="E19" s="24" t="s">
        <v>53</v>
      </c>
      <c r="F19" s="25" t="s">
        <v>80</v>
      </c>
      <c r="G19" s="23" t="s">
        <v>81</v>
      </c>
      <c r="H19" s="25" t="s">
        <v>80</v>
      </c>
      <c r="I19" s="24" t="s">
        <v>53</v>
      </c>
      <c r="J19" s="23" t="s">
        <v>82</v>
      </c>
      <c r="K19" s="25" t="s">
        <v>80</v>
      </c>
      <c r="L19" s="24" t="s">
        <v>53</v>
      </c>
      <c r="M19" s="23" t="s">
        <v>82</v>
      </c>
      <c r="N19" s="25" t="s">
        <v>80</v>
      </c>
      <c r="O19" s="24" t="s">
        <v>53</v>
      </c>
      <c r="P19" s="23" t="s">
        <v>82</v>
      </c>
    </row>
    <row r="20" spans="1:16" x14ac:dyDescent="0.35">
      <c r="A20" s="20" t="s">
        <v>98</v>
      </c>
      <c r="B20" s="24" t="s">
        <v>53</v>
      </c>
      <c r="C20" s="25" t="s">
        <v>80</v>
      </c>
      <c r="D20" s="23" t="s">
        <v>81</v>
      </c>
      <c r="E20" s="24" t="s">
        <v>53</v>
      </c>
      <c r="F20" s="25" t="s">
        <v>80</v>
      </c>
      <c r="G20" s="23" t="s">
        <v>81</v>
      </c>
      <c r="H20" s="25" t="s">
        <v>80</v>
      </c>
      <c r="I20" s="24" t="s">
        <v>53</v>
      </c>
      <c r="J20" s="23" t="s">
        <v>82</v>
      </c>
      <c r="K20" s="25" t="s">
        <v>80</v>
      </c>
      <c r="L20" s="24" t="s">
        <v>53</v>
      </c>
      <c r="M20" s="23" t="s">
        <v>82</v>
      </c>
      <c r="N20" s="25" t="s">
        <v>80</v>
      </c>
      <c r="O20" s="24" t="s">
        <v>53</v>
      </c>
      <c r="P20" s="23" t="s">
        <v>82</v>
      </c>
    </row>
    <row r="21" spans="1:16" x14ac:dyDescent="0.35">
      <c r="A21" s="20" t="s">
        <v>99</v>
      </c>
      <c r="B21" s="24" t="s">
        <v>53</v>
      </c>
      <c r="C21" s="25" t="s">
        <v>80</v>
      </c>
      <c r="D21" s="23" t="s">
        <v>81</v>
      </c>
      <c r="E21" s="24" t="s">
        <v>53</v>
      </c>
      <c r="F21" s="25" t="s">
        <v>80</v>
      </c>
      <c r="G21" s="23" t="s">
        <v>81</v>
      </c>
      <c r="H21" s="25" t="s">
        <v>80</v>
      </c>
      <c r="I21" s="24" t="s">
        <v>53</v>
      </c>
      <c r="J21" s="23" t="s">
        <v>82</v>
      </c>
      <c r="K21" s="25" t="s">
        <v>80</v>
      </c>
      <c r="L21" s="24" t="s">
        <v>53</v>
      </c>
      <c r="M21" s="23" t="s">
        <v>82</v>
      </c>
      <c r="N21" s="25" t="s">
        <v>80</v>
      </c>
      <c r="O21" s="24" t="s">
        <v>53</v>
      </c>
      <c r="P21" s="23" t="s">
        <v>82</v>
      </c>
    </row>
    <row r="22" spans="1:16" x14ac:dyDescent="0.35">
      <c r="A22" s="20" t="s">
        <v>100</v>
      </c>
      <c r="B22" s="24" t="s">
        <v>53</v>
      </c>
      <c r="C22" s="25" t="s">
        <v>80</v>
      </c>
      <c r="D22" s="23" t="s">
        <v>81</v>
      </c>
      <c r="E22" s="24" t="s">
        <v>53</v>
      </c>
      <c r="F22" s="25" t="s">
        <v>80</v>
      </c>
      <c r="G22" s="23" t="s">
        <v>81</v>
      </c>
      <c r="H22" s="25" t="s">
        <v>80</v>
      </c>
      <c r="I22" s="24" t="s">
        <v>53</v>
      </c>
      <c r="J22" s="23" t="s">
        <v>82</v>
      </c>
      <c r="K22" s="25" t="s">
        <v>80</v>
      </c>
      <c r="L22" s="24" t="s">
        <v>53</v>
      </c>
      <c r="M22" s="23" t="s">
        <v>82</v>
      </c>
      <c r="N22" s="25" t="s">
        <v>80</v>
      </c>
      <c r="O22" s="24" t="s">
        <v>53</v>
      </c>
      <c r="P22" s="23" t="s">
        <v>82</v>
      </c>
    </row>
    <row r="23" spans="1:16" x14ac:dyDescent="0.35">
      <c r="A23" s="20" t="s">
        <v>101</v>
      </c>
      <c r="B23" s="24" t="s">
        <v>53</v>
      </c>
      <c r="C23" s="25" t="s">
        <v>80</v>
      </c>
      <c r="D23" s="23" t="s">
        <v>81</v>
      </c>
      <c r="E23" s="24" t="s">
        <v>53</v>
      </c>
      <c r="F23" s="25" t="s">
        <v>80</v>
      </c>
      <c r="G23" s="23" t="s">
        <v>81</v>
      </c>
      <c r="H23" s="25" t="s">
        <v>80</v>
      </c>
      <c r="I23" s="24" t="s">
        <v>53</v>
      </c>
      <c r="J23" s="23" t="s">
        <v>82</v>
      </c>
      <c r="K23" s="25" t="s">
        <v>80</v>
      </c>
      <c r="L23" s="24" t="s">
        <v>53</v>
      </c>
      <c r="M23" s="23" t="s">
        <v>82</v>
      </c>
      <c r="N23" s="25" t="s">
        <v>80</v>
      </c>
      <c r="O23" s="24" t="s">
        <v>53</v>
      </c>
      <c r="P23" s="23" t="s">
        <v>82</v>
      </c>
    </row>
    <row r="24" spans="1:16" x14ac:dyDescent="0.35">
      <c r="A24" s="20" t="s">
        <v>102</v>
      </c>
      <c r="B24" s="24" t="s">
        <v>53</v>
      </c>
      <c r="C24" s="25" t="s">
        <v>80</v>
      </c>
      <c r="D24" s="23" t="s">
        <v>81</v>
      </c>
      <c r="E24" s="24" t="s">
        <v>53</v>
      </c>
      <c r="F24" s="25" t="s">
        <v>80</v>
      </c>
      <c r="G24" s="23" t="s">
        <v>81</v>
      </c>
      <c r="H24" s="25" t="s">
        <v>80</v>
      </c>
      <c r="I24" s="24" t="s">
        <v>53</v>
      </c>
      <c r="J24" s="23" t="s">
        <v>82</v>
      </c>
      <c r="K24" s="25" t="s">
        <v>80</v>
      </c>
      <c r="L24" s="24" t="s">
        <v>53</v>
      </c>
      <c r="M24" s="23" t="s">
        <v>82</v>
      </c>
      <c r="N24" s="25" t="s">
        <v>80</v>
      </c>
      <c r="O24" s="24" t="s">
        <v>53</v>
      </c>
      <c r="P24" s="23" t="s">
        <v>82</v>
      </c>
    </row>
    <row r="25" spans="1:16" x14ac:dyDescent="0.35">
      <c r="A25" s="20" t="s">
        <v>103</v>
      </c>
      <c r="B25" s="21" t="s">
        <v>93</v>
      </c>
      <c r="C25" s="22" t="s">
        <v>76</v>
      </c>
      <c r="D25" s="23" t="s">
        <v>77</v>
      </c>
      <c r="E25" s="21" t="s">
        <v>93</v>
      </c>
      <c r="F25" s="22" t="s">
        <v>76</v>
      </c>
      <c r="G25" s="23" t="s">
        <v>77</v>
      </c>
      <c r="H25" s="25" t="s">
        <v>80</v>
      </c>
      <c r="I25" s="24" t="s">
        <v>53</v>
      </c>
      <c r="J25" s="23" t="s">
        <v>82</v>
      </c>
      <c r="K25" s="22" t="s">
        <v>76</v>
      </c>
      <c r="L25" s="21" t="s">
        <v>93</v>
      </c>
      <c r="M25" s="23" t="s">
        <v>78</v>
      </c>
      <c r="N25" s="22" t="s">
        <v>76</v>
      </c>
      <c r="O25" s="21" t="s">
        <v>93</v>
      </c>
      <c r="P25" s="23" t="s">
        <v>78</v>
      </c>
    </row>
    <row r="26" spans="1:16" x14ac:dyDescent="0.35">
      <c r="A26" s="20" t="s">
        <v>104</v>
      </c>
      <c r="B26" s="22" t="s">
        <v>76</v>
      </c>
      <c r="C26" s="22" t="s">
        <v>76</v>
      </c>
      <c r="D26" s="23" t="s">
        <v>105</v>
      </c>
      <c r="E26" s="22" t="s">
        <v>76</v>
      </c>
      <c r="F26" s="22" t="s">
        <v>76</v>
      </c>
      <c r="G26" s="23" t="s">
        <v>105</v>
      </c>
      <c r="H26" s="22" t="s">
        <v>76</v>
      </c>
      <c r="I26" s="22" t="s">
        <v>76</v>
      </c>
      <c r="J26" s="23" t="s">
        <v>105</v>
      </c>
      <c r="K26" s="22" t="s">
        <v>76</v>
      </c>
      <c r="L26" s="22" t="s">
        <v>76</v>
      </c>
      <c r="M26" s="23" t="s">
        <v>105</v>
      </c>
      <c r="N26" s="22" t="s">
        <v>76</v>
      </c>
      <c r="O26" s="22" t="s">
        <v>76</v>
      </c>
      <c r="P26" s="23" t="s">
        <v>105</v>
      </c>
    </row>
    <row r="27" spans="1:16" x14ac:dyDescent="0.35">
      <c r="A27" s="20" t="s">
        <v>106</v>
      </c>
      <c r="B27" s="22" t="s">
        <v>76</v>
      </c>
      <c r="C27" s="22" t="s">
        <v>76</v>
      </c>
      <c r="D27" s="23" t="s">
        <v>105</v>
      </c>
      <c r="E27" s="22" t="s">
        <v>76</v>
      </c>
      <c r="F27" s="22" t="s">
        <v>76</v>
      </c>
      <c r="G27" s="23" t="s">
        <v>105</v>
      </c>
      <c r="H27" s="22" t="s">
        <v>76</v>
      </c>
      <c r="I27" s="22" t="s">
        <v>76</v>
      </c>
      <c r="J27" s="23" t="s">
        <v>105</v>
      </c>
      <c r="K27" s="22" t="s">
        <v>76</v>
      </c>
      <c r="L27" s="22" t="s">
        <v>76</v>
      </c>
      <c r="M27" s="23" t="s">
        <v>105</v>
      </c>
      <c r="N27" s="22" t="s">
        <v>76</v>
      </c>
      <c r="O27" s="22" t="s">
        <v>76</v>
      </c>
      <c r="P27" s="23" t="s">
        <v>105</v>
      </c>
    </row>
    <row r="29" spans="1:16" x14ac:dyDescent="0.35">
      <c r="A29" s="45" t="s">
        <v>107</v>
      </c>
      <c r="B29" s="40"/>
      <c r="C29" s="40"/>
      <c r="D29" s="40"/>
      <c r="E29" s="40"/>
      <c r="F29" s="40"/>
      <c r="G29" s="40"/>
      <c r="H29" s="40"/>
    </row>
    <row r="30" spans="1:16" ht="26" x14ac:dyDescent="0.35">
      <c r="A30" s="28"/>
      <c r="B30" s="28" t="s">
        <v>108</v>
      </c>
      <c r="C30" s="28" t="s">
        <v>109</v>
      </c>
      <c r="D30" s="28" t="s">
        <v>110</v>
      </c>
      <c r="E30" s="28" t="s">
        <v>111</v>
      </c>
      <c r="F30" s="28" t="s">
        <v>112</v>
      </c>
      <c r="G30" s="28" t="s">
        <v>113</v>
      </c>
      <c r="H30" s="28" t="s">
        <v>114</v>
      </c>
    </row>
    <row r="31" spans="1:16" x14ac:dyDescent="0.35">
      <c r="A31" s="29" t="s">
        <v>71</v>
      </c>
      <c r="B31" s="30">
        <v>40</v>
      </c>
      <c r="C31" s="31">
        <v>96000</v>
      </c>
      <c r="D31" s="32">
        <f>B31/40</f>
        <v>1</v>
      </c>
      <c r="E31" s="31">
        <f>C31*D31/12</f>
        <v>8000</v>
      </c>
      <c r="F31" s="31">
        <f>C31*D31</f>
        <v>96000</v>
      </c>
      <c r="G31" s="31">
        <f>IF(E31&gt;=8000,E31*0.6,IF(E31&gt;=7000,E31*0.61,IF(E31&gt;=6000,E31*0.62,IF(E31&gt;=5000,E31*0.64,IF(E31&gt;=4000,E31*0.66,IF(E31&gt;=3000,E31*0.68,E31*0.7))))))</f>
        <v>4800</v>
      </c>
      <c r="H31" s="31">
        <f>G31*12</f>
        <v>57600</v>
      </c>
    </row>
    <row r="32" spans="1:16" ht="26" x14ac:dyDescent="0.35">
      <c r="A32" s="29" t="s">
        <v>115</v>
      </c>
      <c r="B32" s="30">
        <v>40</v>
      </c>
      <c r="C32" s="31">
        <v>84000</v>
      </c>
      <c r="D32" s="32">
        <f>B32/40</f>
        <v>1</v>
      </c>
      <c r="E32" s="31">
        <f>C32*D32/12</f>
        <v>7000</v>
      </c>
      <c r="F32" s="31">
        <f>C32*D32</f>
        <v>84000</v>
      </c>
      <c r="G32" s="31">
        <f>IF(E32&gt;=8000,E32*0.6,IF(E32&gt;=7000,E32*0.61,IF(E32&gt;=6000,E32*0.62,IF(E32&gt;=5000,E32*0.64,IF(E32&gt;=4000,E32*0.66,IF(E32&gt;=3000,E32*0.68,E32*0.7))))))</f>
        <v>4270</v>
      </c>
      <c r="H32" s="31">
        <f>G32*12</f>
        <v>51240</v>
      </c>
    </row>
    <row r="33" spans="1:8" ht="39" x14ac:dyDescent="0.35">
      <c r="A33" s="33" t="s">
        <v>116</v>
      </c>
      <c r="B33" s="34">
        <f>B31+B32</f>
        <v>80</v>
      </c>
      <c r="C33" s="33"/>
      <c r="D33" s="33"/>
      <c r="E33" s="35">
        <f>E31+E32</f>
        <v>15000</v>
      </c>
      <c r="F33" s="35">
        <f>F31+F32</f>
        <v>180000</v>
      </c>
      <c r="G33" s="35">
        <f>G31+G32</f>
        <v>9070</v>
      </c>
      <c r="H33" s="35">
        <f>H31+H32</f>
        <v>108840</v>
      </c>
    </row>
    <row r="35" spans="1:8" x14ac:dyDescent="0.35">
      <c r="A35" s="6" t="s">
        <v>117</v>
      </c>
      <c r="B35" s="36">
        <f>F33*0.7</f>
        <v>125999.99999999999</v>
      </c>
    </row>
    <row r="36" spans="1:8" x14ac:dyDescent="0.35">
      <c r="A36" s="6" t="s">
        <v>118</v>
      </c>
      <c r="B36" s="37">
        <f>G33</f>
        <v>9070</v>
      </c>
    </row>
    <row r="38" spans="1:8" x14ac:dyDescent="0.35">
      <c r="A38" s="39" t="s">
        <v>119</v>
      </c>
      <c r="B38" s="40"/>
      <c r="C38" s="40"/>
      <c r="D38" s="40"/>
      <c r="E38" s="40"/>
      <c r="F38" s="40"/>
      <c r="G38" s="40"/>
      <c r="H38" s="40"/>
    </row>
    <row r="40" spans="1:8" x14ac:dyDescent="0.35">
      <c r="A40" s="6" t="s">
        <v>52</v>
      </c>
    </row>
    <row r="41" spans="1:8" x14ac:dyDescent="0.35">
      <c r="A41" s="7"/>
      <c r="B41" s="39" t="s">
        <v>53</v>
      </c>
      <c r="C41" s="40"/>
      <c r="D41" s="40"/>
      <c r="E41" s="40"/>
    </row>
    <row r="42" spans="1:8" x14ac:dyDescent="0.35">
      <c r="A42" s="9"/>
      <c r="B42" s="39" t="s">
        <v>54</v>
      </c>
      <c r="C42" s="40"/>
      <c r="D42" s="40"/>
      <c r="E42" s="40"/>
    </row>
    <row r="43" spans="1:8" x14ac:dyDescent="0.35">
      <c r="A43" s="10"/>
      <c r="B43" s="39" t="s">
        <v>55</v>
      </c>
      <c r="C43" s="40"/>
      <c r="D43" s="40"/>
      <c r="E43" s="40"/>
    </row>
    <row r="44" spans="1:8" x14ac:dyDescent="0.35">
      <c r="A44" s="11"/>
      <c r="B44" s="39" t="s">
        <v>56</v>
      </c>
      <c r="C44" s="40"/>
      <c r="D44" s="40"/>
      <c r="E44" s="40"/>
    </row>
    <row r="45" spans="1:8" x14ac:dyDescent="0.35">
      <c r="A45" s="12"/>
      <c r="B45" s="39" t="s">
        <v>57</v>
      </c>
      <c r="C45" s="40"/>
      <c r="D45" s="40"/>
      <c r="E45" s="40"/>
    </row>
    <row r="46" spans="1:8" x14ac:dyDescent="0.35">
      <c r="A46" s="13"/>
      <c r="B46" s="39" t="s">
        <v>58</v>
      </c>
      <c r="C46" s="40"/>
      <c r="D46" s="40"/>
      <c r="E46" s="40"/>
    </row>
    <row r="47" spans="1:8" x14ac:dyDescent="0.35">
      <c r="A47" s="14"/>
      <c r="B47" s="39" t="s">
        <v>59</v>
      </c>
      <c r="C47" s="40"/>
      <c r="D47" s="40"/>
      <c r="E47" s="40"/>
    </row>
    <row r="48" spans="1:8" x14ac:dyDescent="0.35">
      <c r="A48" s="15"/>
      <c r="B48" s="39" t="s">
        <v>60</v>
      </c>
      <c r="C48" s="40"/>
      <c r="D48" s="40"/>
      <c r="E48" s="40"/>
    </row>
    <row r="49" spans="1:5" x14ac:dyDescent="0.35">
      <c r="A49" s="16"/>
      <c r="B49" s="39" t="s">
        <v>61</v>
      </c>
      <c r="C49" s="40"/>
      <c r="D49" s="40"/>
      <c r="E49" s="40"/>
    </row>
  </sheetData>
  <mergeCells count="19">
    <mergeCell ref="A1:P1"/>
    <mergeCell ref="H5:J5"/>
    <mergeCell ref="B48:E48"/>
    <mergeCell ref="B42:E42"/>
    <mergeCell ref="A29:H29"/>
    <mergeCell ref="E5:G5"/>
    <mergeCell ref="K5:M5"/>
    <mergeCell ref="A38:H38"/>
    <mergeCell ref="B44:E44"/>
    <mergeCell ref="A2:P2"/>
    <mergeCell ref="B49:E49"/>
    <mergeCell ref="N5:P5"/>
    <mergeCell ref="A4:P4"/>
    <mergeCell ref="B45:E45"/>
    <mergeCell ref="B41:E41"/>
    <mergeCell ref="B47:E47"/>
    <mergeCell ref="B46:E46"/>
    <mergeCell ref="B5:D5"/>
    <mergeCell ref="B43:E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"/>
  <sheetViews>
    <sheetView workbookViewId="0"/>
  </sheetViews>
  <sheetFormatPr baseColWidth="10" defaultColWidth="8.7265625" defaultRowHeight="14.5" x14ac:dyDescent="0.35"/>
  <cols>
    <col min="1" max="1" width="8" customWidth="1"/>
    <col min="2" max="16" width="11" customWidth="1"/>
  </cols>
  <sheetData>
    <row r="1" spans="1:16" x14ac:dyDescent="0.35">
      <c r="A1" s="44" t="s">
        <v>120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35">
      <c r="A2" s="39" t="s">
        <v>121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16" x14ac:dyDescent="0.35">
      <c r="A4" s="43" t="s">
        <v>64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18" x14ac:dyDescent="0.35">
      <c r="A5" s="17" t="s">
        <v>65</v>
      </c>
      <c r="B5" s="42" t="s">
        <v>66</v>
      </c>
      <c r="C5" s="40"/>
      <c r="D5" s="40"/>
      <c r="E5" s="42" t="s">
        <v>67</v>
      </c>
      <c r="F5" s="40"/>
      <c r="G5" s="40"/>
      <c r="H5" s="42" t="s">
        <v>68</v>
      </c>
      <c r="I5" s="40"/>
      <c r="J5" s="40"/>
      <c r="K5" s="42" t="s">
        <v>69</v>
      </c>
      <c r="L5" s="40"/>
      <c r="M5" s="40"/>
      <c r="N5" s="42" t="s">
        <v>70</v>
      </c>
      <c r="O5" s="40"/>
      <c r="P5" s="40"/>
    </row>
    <row r="6" spans="1:16" x14ac:dyDescent="0.35">
      <c r="A6" s="18"/>
      <c r="B6" s="19" t="s">
        <v>71</v>
      </c>
      <c r="C6" s="19" t="s">
        <v>72</v>
      </c>
      <c r="D6" s="19" t="s">
        <v>73</v>
      </c>
      <c r="E6" s="19" t="s">
        <v>71</v>
      </c>
      <c r="F6" s="19" t="s">
        <v>72</v>
      </c>
      <c r="G6" s="19" t="s">
        <v>73</v>
      </c>
      <c r="H6" s="19" t="s">
        <v>71</v>
      </c>
      <c r="I6" s="19" t="s">
        <v>72</v>
      </c>
      <c r="J6" s="19" t="s">
        <v>73</v>
      </c>
      <c r="K6" s="19" t="s">
        <v>71</v>
      </c>
      <c r="L6" s="19" t="s">
        <v>72</v>
      </c>
      <c r="M6" s="19" t="s">
        <v>73</v>
      </c>
      <c r="N6" s="19" t="s">
        <v>71</v>
      </c>
      <c r="O6" s="19" t="s">
        <v>72</v>
      </c>
      <c r="P6" s="19" t="s">
        <v>73</v>
      </c>
    </row>
    <row r="7" spans="1:16" x14ac:dyDescent="0.35">
      <c r="A7" s="20" t="s">
        <v>74</v>
      </c>
      <c r="B7" s="21" t="s">
        <v>75</v>
      </c>
      <c r="C7" s="22" t="s">
        <v>76</v>
      </c>
      <c r="D7" s="23" t="s">
        <v>77</v>
      </c>
      <c r="E7" s="21" t="s">
        <v>75</v>
      </c>
      <c r="F7" s="22" t="s">
        <v>76</v>
      </c>
      <c r="G7" s="23" t="s">
        <v>77</v>
      </c>
      <c r="H7" s="21" t="s">
        <v>75</v>
      </c>
      <c r="I7" s="22" t="s">
        <v>76</v>
      </c>
      <c r="J7" s="23" t="s">
        <v>77</v>
      </c>
      <c r="K7" s="22" t="s">
        <v>76</v>
      </c>
      <c r="L7" s="21" t="s">
        <v>75</v>
      </c>
      <c r="M7" s="23" t="s">
        <v>78</v>
      </c>
      <c r="N7" s="22" t="s">
        <v>76</v>
      </c>
      <c r="O7" s="21" t="s">
        <v>75</v>
      </c>
      <c r="P7" s="23" t="s">
        <v>78</v>
      </c>
    </row>
    <row r="8" spans="1:16" x14ac:dyDescent="0.35">
      <c r="A8" s="20" t="s">
        <v>79</v>
      </c>
      <c r="B8" s="24" t="s">
        <v>53</v>
      </c>
      <c r="C8" s="25" t="s">
        <v>80</v>
      </c>
      <c r="D8" s="23" t="s">
        <v>81</v>
      </c>
      <c r="E8" s="24" t="s">
        <v>53</v>
      </c>
      <c r="F8" s="25" t="s">
        <v>80</v>
      </c>
      <c r="G8" s="23" t="s">
        <v>81</v>
      </c>
      <c r="H8" s="24" t="s">
        <v>53</v>
      </c>
      <c r="I8" s="25" t="s">
        <v>80</v>
      </c>
      <c r="J8" s="23" t="s">
        <v>81</v>
      </c>
      <c r="K8" s="25" t="s">
        <v>80</v>
      </c>
      <c r="L8" s="24" t="s">
        <v>53</v>
      </c>
      <c r="M8" s="23" t="s">
        <v>82</v>
      </c>
      <c r="N8" s="25" t="s">
        <v>80</v>
      </c>
      <c r="O8" s="24" t="s">
        <v>53</v>
      </c>
      <c r="P8" s="23" t="s">
        <v>82</v>
      </c>
    </row>
    <row r="9" spans="1:16" x14ac:dyDescent="0.35">
      <c r="A9" s="20" t="s">
        <v>83</v>
      </c>
      <c r="B9" s="24" t="s">
        <v>53</v>
      </c>
      <c r="C9" s="25" t="s">
        <v>80</v>
      </c>
      <c r="D9" s="23" t="s">
        <v>81</v>
      </c>
      <c r="E9" s="24" t="s">
        <v>53</v>
      </c>
      <c r="F9" s="25" t="s">
        <v>80</v>
      </c>
      <c r="G9" s="23" t="s">
        <v>81</v>
      </c>
      <c r="H9" s="24" t="s">
        <v>53</v>
      </c>
      <c r="I9" s="25" t="s">
        <v>80</v>
      </c>
      <c r="J9" s="23" t="s">
        <v>81</v>
      </c>
      <c r="K9" s="25" t="s">
        <v>80</v>
      </c>
      <c r="L9" s="24" t="s">
        <v>53</v>
      </c>
      <c r="M9" s="23" t="s">
        <v>82</v>
      </c>
      <c r="N9" s="25" t="s">
        <v>80</v>
      </c>
      <c r="O9" s="24" t="s">
        <v>53</v>
      </c>
      <c r="P9" s="23" t="s">
        <v>82</v>
      </c>
    </row>
    <row r="10" spans="1:16" x14ac:dyDescent="0.35">
      <c r="A10" s="20" t="s">
        <v>84</v>
      </c>
      <c r="B10" s="24" t="s">
        <v>53</v>
      </c>
      <c r="C10" s="25" t="s">
        <v>80</v>
      </c>
      <c r="D10" s="23" t="s">
        <v>81</v>
      </c>
      <c r="E10" s="24" t="s">
        <v>53</v>
      </c>
      <c r="F10" s="25" t="s">
        <v>80</v>
      </c>
      <c r="G10" s="23" t="s">
        <v>81</v>
      </c>
      <c r="H10" s="24" t="s">
        <v>53</v>
      </c>
      <c r="I10" s="25" t="s">
        <v>80</v>
      </c>
      <c r="J10" s="23" t="s">
        <v>81</v>
      </c>
      <c r="K10" s="25" t="s">
        <v>80</v>
      </c>
      <c r="L10" s="24" t="s">
        <v>53</v>
      </c>
      <c r="M10" s="23" t="s">
        <v>82</v>
      </c>
      <c r="N10" s="25" t="s">
        <v>80</v>
      </c>
      <c r="O10" s="24" t="s">
        <v>53</v>
      </c>
      <c r="P10" s="23" t="s">
        <v>82</v>
      </c>
    </row>
    <row r="11" spans="1:16" x14ac:dyDescent="0.35">
      <c r="A11" s="20" t="s">
        <v>85</v>
      </c>
      <c r="B11" s="24" t="s">
        <v>53</v>
      </c>
      <c r="C11" s="25" t="s">
        <v>80</v>
      </c>
      <c r="D11" s="23" t="s">
        <v>81</v>
      </c>
      <c r="E11" s="24" t="s">
        <v>53</v>
      </c>
      <c r="F11" s="25" t="s">
        <v>80</v>
      </c>
      <c r="G11" s="23" t="s">
        <v>81</v>
      </c>
      <c r="H11" s="24" t="s">
        <v>53</v>
      </c>
      <c r="I11" s="25" t="s">
        <v>80</v>
      </c>
      <c r="J11" s="23" t="s">
        <v>81</v>
      </c>
      <c r="K11" s="25" t="s">
        <v>80</v>
      </c>
      <c r="L11" s="24" t="s">
        <v>53</v>
      </c>
      <c r="M11" s="23" t="s">
        <v>82</v>
      </c>
      <c r="N11" s="25" t="s">
        <v>80</v>
      </c>
      <c r="O11" s="24" t="s">
        <v>53</v>
      </c>
      <c r="P11" s="23" t="s">
        <v>82</v>
      </c>
    </row>
    <row r="12" spans="1:16" x14ac:dyDescent="0.35">
      <c r="A12" s="20" t="s">
        <v>86</v>
      </c>
      <c r="B12" s="24" t="s">
        <v>53</v>
      </c>
      <c r="C12" s="25" t="s">
        <v>80</v>
      </c>
      <c r="D12" s="23" t="s">
        <v>81</v>
      </c>
      <c r="E12" s="24" t="s">
        <v>53</v>
      </c>
      <c r="F12" s="25" t="s">
        <v>80</v>
      </c>
      <c r="G12" s="23" t="s">
        <v>81</v>
      </c>
      <c r="H12" s="24" t="s">
        <v>53</v>
      </c>
      <c r="I12" s="25" t="s">
        <v>80</v>
      </c>
      <c r="J12" s="23" t="s">
        <v>81</v>
      </c>
      <c r="K12" s="25" t="s">
        <v>80</v>
      </c>
      <c r="L12" s="24" t="s">
        <v>53</v>
      </c>
      <c r="M12" s="23" t="s">
        <v>82</v>
      </c>
      <c r="N12" s="25" t="s">
        <v>80</v>
      </c>
      <c r="O12" s="24" t="s">
        <v>53</v>
      </c>
      <c r="P12" s="23" t="s">
        <v>82</v>
      </c>
    </row>
    <row r="13" spans="1:16" x14ac:dyDescent="0.35">
      <c r="A13" s="20" t="s">
        <v>87</v>
      </c>
      <c r="B13" s="24" t="s">
        <v>53</v>
      </c>
      <c r="C13" s="25" t="s">
        <v>80</v>
      </c>
      <c r="D13" s="23" t="s">
        <v>81</v>
      </c>
      <c r="E13" s="24" t="s">
        <v>53</v>
      </c>
      <c r="F13" s="25" t="s">
        <v>80</v>
      </c>
      <c r="G13" s="23" t="s">
        <v>81</v>
      </c>
      <c r="H13" s="24" t="s">
        <v>53</v>
      </c>
      <c r="I13" s="25" t="s">
        <v>80</v>
      </c>
      <c r="J13" s="23" t="s">
        <v>81</v>
      </c>
      <c r="K13" s="25" t="s">
        <v>80</v>
      </c>
      <c r="L13" s="24" t="s">
        <v>53</v>
      </c>
      <c r="M13" s="23" t="s">
        <v>82</v>
      </c>
      <c r="N13" s="25" t="s">
        <v>80</v>
      </c>
      <c r="O13" s="24" t="s">
        <v>53</v>
      </c>
      <c r="P13" s="23" t="s">
        <v>82</v>
      </c>
    </row>
    <row r="14" spans="1:16" x14ac:dyDescent="0.35">
      <c r="A14" s="20" t="s">
        <v>88</v>
      </c>
      <c r="B14" s="24" t="s">
        <v>53</v>
      </c>
      <c r="C14" s="25" t="s">
        <v>80</v>
      </c>
      <c r="D14" s="23" t="s">
        <v>81</v>
      </c>
      <c r="E14" s="24" t="s">
        <v>53</v>
      </c>
      <c r="F14" s="25" t="s">
        <v>80</v>
      </c>
      <c r="G14" s="23" t="s">
        <v>81</v>
      </c>
      <c r="H14" s="24" t="s">
        <v>53</v>
      </c>
      <c r="I14" s="25" t="s">
        <v>80</v>
      </c>
      <c r="J14" s="23" t="s">
        <v>81</v>
      </c>
      <c r="K14" s="25" t="s">
        <v>80</v>
      </c>
      <c r="L14" s="24" t="s">
        <v>53</v>
      </c>
      <c r="M14" s="23" t="s">
        <v>82</v>
      </c>
      <c r="N14" s="25" t="s">
        <v>80</v>
      </c>
      <c r="O14" s="24" t="s">
        <v>53</v>
      </c>
      <c r="P14" s="23" t="s">
        <v>82</v>
      </c>
    </row>
    <row r="15" spans="1:16" x14ac:dyDescent="0.35">
      <c r="A15" s="20" t="s">
        <v>89</v>
      </c>
      <c r="B15" s="24" t="s">
        <v>53</v>
      </c>
      <c r="C15" s="25" t="s">
        <v>80</v>
      </c>
      <c r="D15" s="23" t="s">
        <v>81</v>
      </c>
      <c r="E15" s="24" t="s">
        <v>53</v>
      </c>
      <c r="F15" s="25" t="s">
        <v>80</v>
      </c>
      <c r="G15" s="23" t="s">
        <v>81</v>
      </c>
      <c r="H15" s="24" t="s">
        <v>53</v>
      </c>
      <c r="I15" s="25" t="s">
        <v>80</v>
      </c>
      <c r="J15" s="23" t="s">
        <v>81</v>
      </c>
      <c r="K15" s="25" t="s">
        <v>80</v>
      </c>
      <c r="L15" s="24" t="s">
        <v>53</v>
      </c>
      <c r="M15" s="23" t="s">
        <v>82</v>
      </c>
      <c r="N15" s="25" t="s">
        <v>80</v>
      </c>
      <c r="O15" s="24" t="s">
        <v>53</v>
      </c>
      <c r="P15" s="23" t="s">
        <v>82</v>
      </c>
    </row>
    <row r="16" spans="1:16" x14ac:dyDescent="0.35">
      <c r="A16" s="20" t="s">
        <v>90</v>
      </c>
      <c r="B16" s="26" t="s">
        <v>91</v>
      </c>
      <c r="C16" s="22" t="s">
        <v>76</v>
      </c>
      <c r="D16" s="23" t="s">
        <v>77</v>
      </c>
      <c r="E16" s="26" t="s">
        <v>91</v>
      </c>
      <c r="F16" s="22" t="s">
        <v>76</v>
      </c>
      <c r="G16" s="23" t="s">
        <v>77</v>
      </c>
      <c r="H16" s="21" t="s">
        <v>93</v>
      </c>
      <c r="I16" s="22" t="s">
        <v>76</v>
      </c>
      <c r="J16" s="23" t="s">
        <v>77</v>
      </c>
      <c r="K16" s="27" t="s">
        <v>91</v>
      </c>
      <c r="L16" s="21" t="s">
        <v>93</v>
      </c>
      <c r="M16" s="23" t="s">
        <v>94</v>
      </c>
      <c r="N16" s="27" t="s">
        <v>91</v>
      </c>
      <c r="O16" s="21" t="s">
        <v>93</v>
      </c>
      <c r="P16" s="23" t="s">
        <v>94</v>
      </c>
    </row>
    <row r="17" spans="1:16" ht="23" x14ac:dyDescent="0.35">
      <c r="A17" s="20" t="s">
        <v>95</v>
      </c>
      <c r="B17" s="24" t="s">
        <v>53</v>
      </c>
      <c r="C17" s="22" t="s">
        <v>76</v>
      </c>
      <c r="D17" s="23" t="s">
        <v>77</v>
      </c>
      <c r="E17" s="24" t="s">
        <v>53</v>
      </c>
      <c r="F17" s="22" t="s">
        <v>76</v>
      </c>
      <c r="G17" s="23" t="s">
        <v>77</v>
      </c>
      <c r="H17" s="27" t="s">
        <v>91</v>
      </c>
      <c r="I17" s="22" t="s">
        <v>76</v>
      </c>
      <c r="J17" s="23" t="s">
        <v>122</v>
      </c>
      <c r="K17" s="25" t="s">
        <v>80</v>
      </c>
      <c r="L17" s="22" t="s">
        <v>76</v>
      </c>
      <c r="M17" s="23" t="s">
        <v>123</v>
      </c>
      <c r="N17" s="25" t="s">
        <v>80</v>
      </c>
      <c r="O17" s="22" t="s">
        <v>76</v>
      </c>
      <c r="P17" s="23" t="s">
        <v>123</v>
      </c>
    </row>
    <row r="18" spans="1:16" x14ac:dyDescent="0.35">
      <c r="A18" s="20" t="s">
        <v>96</v>
      </c>
      <c r="B18" s="24" t="s">
        <v>53</v>
      </c>
      <c r="C18" s="22" t="s">
        <v>76</v>
      </c>
      <c r="D18" s="23" t="s">
        <v>77</v>
      </c>
      <c r="E18" s="24" t="s">
        <v>53</v>
      </c>
      <c r="F18" s="22" t="s">
        <v>76</v>
      </c>
      <c r="G18" s="23" t="s">
        <v>77</v>
      </c>
      <c r="H18" s="25" t="s">
        <v>80</v>
      </c>
      <c r="I18" s="22" t="s">
        <v>76</v>
      </c>
      <c r="J18" s="23" t="s">
        <v>123</v>
      </c>
      <c r="K18" s="25" t="s">
        <v>80</v>
      </c>
      <c r="L18" s="22" t="s">
        <v>76</v>
      </c>
      <c r="M18" s="23" t="s">
        <v>123</v>
      </c>
      <c r="N18" s="25" t="s">
        <v>80</v>
      </c>
      <c r="O18" s="22" t="s">
        <v>76</v>
      </c>
      <c r="P18" s="23" t="s">
        <v>123</v>
      </c>
    </row>
    <row r="19" spans="1:16" x14ac:dyDescent="0.35">
      <c r="A19" s="20" t="s">
        <v>97</v>
      </c>
      <c r="B19" s="24" t="s">
        <v>53</v>
      </c>
      <c r="C19" s="22" t="s">
        <v>76</v>
      </c>
      <c r="D19" s="23" t="s">
        <v>77</v>
      </c>
      <c r="E19" s="24" t="s">
        <v>53</v>
      </c>
      <c r="F19" s="22" t="s">
        <v>76</v>
      </c>
      <c r="G19" s="23" t="s">
        <v>77</v>
      </c>
      <c r="H19" s="25" t="s">
        <v>80</v>
      </c>
      <c r="I19" s="22" t="s">
        <v>76</v>
      </c>
      <c r="J19" s="23" t="s">
        <v>123</v>
      </c>
      <c r="K19" s="25" t="s">
        <v>80</v>
      </c>
      <c r="L19" s="22" t="s">
        <v>76</v>
      </c>
      <c r="M19" s="23" t="s">
        <v>123</v>
      </c>
      <c r="N19" s="25" t="s">
        <v>80</v>
      </c>
      <c r="O19" s="22" t="s">
        <v>76</v>
      </c>
      <c r="P19" s="23" t="s">
        <v>123</v>
      </c>
    </row>
    <row r="20" spans="1:16" x14ac:dyDescent="0.35">
      <c r="A20" s="20" t="s">
        <v>98</v>
      </c>
      <c r="B20" s="24" t="s">
        <v>53</v>
      </c>
      <c r="C20" s="22" t="s">
        <v>76</v>
      </c>
      <c r="D20" s="23" t="s">
        <v>77</v>
      </c>
      <c r="E20" s="24" t="s">
        <v>53</v>
      </c>
      <c r="F20" s="22" t="s">
        <v>76</v>
      </c>
      <c r="G20" s="23" t="s">
        <v>77</v>
      </c>
      <c r="H20" s="25" t="s">
        <v>80</v>
      </c>
      <c r="I20" s="22" t="s">
        <v>76</v>
      </c>
      <c r="J20" s="23" t="s">
        <v>123</v>
      </c>
      <c r="K20" s="25" t="s">
        <v>80</v>
      </c>
      <c r="L20" s="22" t="s">
        <v>76</v>
      </c>
      <c r="M20" s="23" t="s">
        <v>123</v>
      </c>
      <c r="N20" s="25" t="s">
        <v>80</v>
      </c>
      <c r="O20" s="22" t="s">
        <v>76</v>
      </c>
      <c r="P20" s="23" t="s">
        <v>123</v>
      </c>
    </row>
    <row r="21" spans="1:16" x14ac:dyDescent="0.35">
      <c r="A21" s="20" t="s">
        <v>99</v>
      </c>
      <c r="B21" s="24" t="s">
        <v>53</v>
      </c>
      <c r="C21" s="22" t="s">
        <v>76</v>
      </c>
      <c r="D21" s="23" t="s">
        <v>77</v>
      </c>
      <c r="E21" s="24" t="s">
        <v>53</v>
      </c>
      <c r="F21" s="22" t="s">
        <v>76</v>
      </c>
      <c r="G21" s="23" t="s">
        <v>77</v>
      </c>
      <c r="H21" s="25" t="s">
        <v>80</v>
      </c>
      <c r="I21" s="22" t="s">
        <v>76</v>
      </c>
      <c r="J21" s="23" t="s">
        <v>123</v>
      </c>
      <c r="K21" s="25" t="s">
        <v>80</v>
      </c>
      <c r="L21" s="22" t="s">
        <v>76</v>
      </c>
      <c r="M21" s="23" t="s">
        <v>123</v>
      </c>
      <c r="N21" s="25" t="s">
        <v>80</v>
      </c>
      <c r="O21" s="22" t="s">
        <v>76</v>
      </c>
      <c r="P21" s="23" t="s">
        <v>123</v>
      </c>
    </row>
    <row r="22" spans="1:16" x14ac:dyDescent="0.35">
      <c r="A22" s="20" t="s">
        <v>100</v>
      </c>
      <c r="B22" s="24" t="s">
        <v>53</v>
      </c>
      <c r="C22" s="22" t="s">
        <v>76</v>
      </c>
      <c r="D22" s="23" t="s">
        <v>77</v>
      </c>
      <c r="E22" s="24" t="s">
        <v>53</v>
      </c>
      <c r="F22" s="22" t="s">
        <v>76</v>
      </c>
      <c r="G22" s="23" t="s">
        <v>77</v>
      </c>
      <c r="H22" s="25" t="s">
        <v>80</v>
      </c>
      <c r="I22" s="22" t="s">
        <v>76</v>
      </c>
      <c r="J22" s="23" t="s">
        <v>123</v>
      </c>
      <c r="K22" s="25" t="s">
        <v>80</v>
      </c>
      <c r="L22" s="22" t="s">
        <v>76</v>
      </c>
      <c r="M22" s="23" t="s">
        <v>123</v>
      </c>
      <c r="N22" s="25" t="s">
        <v>80</v>
      </c>
      <c r="O22" s="22" t="s">
        <v>76</v>
      </c>
      <c r="P22" s="23" t="s">
        <v>123</v>
      </c>
    </row>
    <row r="23" spans="1:16" x14ac:dyDescent="0.35">
      <c r="A23" s="20" t="s">
        <v>101</v>
      </c>
      <c r="B23" s="24" t="s">
        <v>53</v>
      </c>
      <c r="C23" s="22" t="s">
        <v>76</v>
      </c>
      <c r="D23" s="23" t="s">
        <v>77</v>
      </c>
      <c r="E23" s="24" t="s">
        <v>53</v>
      </c>
      <c r="F23" s="22" t="s">
        <v>76</v>
      </c>
      <c r="G23" s="23" t="s">
        <v>77</v>
      </c>
      <c r="H23" s="25" t="s">
        <v>80</v>
      </c>
      <c r="I23" s="22" t="s">
        <v>76</v>
      </c>
      <c r="J23" s="23" t="s">
        <v>123</v>
      </c>
      <c r="K23" s="25" t="s">
        <v>80</v>
      </c>
      <c r="L23" s="22" t="s">
        <v>76</v>
      </c>
      <c r="M23" s="23" t="s">
        <v>123</v>
      </c>
      <c r="N23" s="25" t="s">
        <v>80</v>
      </c>
      <c r="O23" s="22" t="s">
        <v>76</v>
      </c>
      <c r="P23" s="23" t="s">
        <v>123</v>
      </c>
    </row>
    <row r="24" spans="1:16" x14ac:dyDescent="0.35">
      <c r="A24" s="20" t="s">
        <v>102</v>
      </c>
      <c r="B24" s="24" t="s">
        <v>53</v>
      </c>
      <c r="C24" s="22" t="s">
        <v>76</v>
      </c>
      <c r="D24" s="23" t="s">
        <v>77</v>
      </c>
      <c r="E24" s="24" t="s">
        <v>53</v>
      </c>
      <c r="F24" s="22" t="s">
        <v>76</v>
      </c>
      <c r="G24" s="23" t="s">
        <v>77</v>
      </c>
      <c r="H24" s="25" t="s">
        <v>80</v>
      </c>
      <c r="I24" s="22" t="s">
        <v>76</v>
      </c>
      <c r="J24" s="23" t="s">
        <v>123</v>
      </c>
      <c r="K24" s="25" t="s">
        <v>80</v>
      </c>
      <c r="L24" s="22" t="s">
        <v>76</v>
      </c>
      <c r="M24" s="23" t="s">
        <v>123</v>
      </c>
      <c r="N24" s="25" t="s">
        <v>80</v>
      </c>
      <c r="O24" s="22" t="s">
        <v>76</v>
      </c>
      <c r="P24" s="23" t="s">
        <v>123</v>
      </c>
    </row>
    <row r="25" spans="1:16" x14ac:dyDescent="0.35">
      <c r="A25" s="20" t="s">
        <v>103</v>
      </c>
      <c r="B25" s="21" t="s">
        <v>93</v>
      </c>
      <c r="C25" s="22" t="s">
        <v>76</v>
      </c>
      <c r="D25" s="23" t="s">
        <v>77</v>
      </c>
      <c r="E25" s="21" t="s">
        <v>93</v>
      </c>
      <c r="F25" s="22" t="s">
        <v>76</v>
      </c>
      <c r="G25" s="23" t="s">
        <v>77</v>
      </c>
      <c r="H25" s="25" t="s">
        <v>80</v>
      </c>
      <c r="I25" s="22" t="s">
        <v>76</v>
      </c>
      <c r="J25" s="23" t="s">
        <v>123</v>
      </c>
      <c r="K25" s="22" t="s">
        <v>76</v>
      </c>
      <c r="L25" s="22" t="s">
        <v>76</v>
      </c>
      <c r="M25" s="23" t="s">
        <v>105</v>
      </c>
      <c r="N25" s="22" t="s">
        <v>76</v>
      </c>
      <c r="O25" s="22" t="s">
        <v>76</v>
      </c>
      <c r="P25" s="23" t="s">
        <v>105</v>
      </c>
    </row>
    <row r="26" spans="1:16" x14ac:dyDescent="0.35">
      <c r="A26" s="20" t="s">
        <v>104</v>
      </c>
      <c r="B26" s="22" t="s">
        <v>76</v>
      </c>
      <c r="C26" s="22" t="s">
        <v>76</v>
      </c>
      <c r="D26" s="23" t="s">
        <v>105</v>
      </c>
      <c r="E26" s="22" t="s">
        <v>76</v>
      </c>
      <c r="F26" s="22" t="s">
        <v>76</v>
      </c>
      <c r="G26" s="23" t="s">
        <v>105</v>
      </c>
      <c r="H26" s="22" t="s">
        <v>76</v>
      </c>
      <c r="I26" s="22" t="s">
        <v>76</v>
      </c>
      <c r="J26" s="23" t="s">
        <v>105</v>
      </c>
      <c r="K26" s="22" t="s">
        <v>76</v>
      </c>
      <c r="L26" s="22" t="s">
        <v>76</v>
      </c>
      <c r="M26" s="23" t="s">
        <v>105</v>
      </c>
      <c r="N26" s="22" t="s">
        <v>76</v>
      </c>
      <c r="O26" s="22" t="s">
        <v>76</v>
      </c>
      <c r="P26" s="23" t="s">
        <v>105</v>
      </c>
    </row>
    <row r="27" spans="1:16" x14ac:dyDescent="0.35">
      <c r="A27" s="20" t="s">
        <v>106</v>
      </c>
      <c r="B27" s="22" t="s">
        <v>76</v>
      </c>
      <c r="C27" s="22" t="s">
        <v>76</v>
      </c>
      <c r="D27" s="23" t="s">
        <v>105</v>
      </c>
      <c r="E27" s="22" t="s">
        <v>76</v>
      </c>
      <c r="F27" s="22" t="s">
        <v>76</v>
      </c>
      <c r="G27" s="23" t="s">
        <v>105</v>
      </c>
      <c r="H27" s="22" t="s">
        <v>76</v>
      </c>
      <c r="I27" s="22" t="s">
        <v>76</v>
      </c>
      <c r="J27" s="23" t="s">
        <v>105</v>
      </c>
      <c r="K27" s="22" t="s">
        <v>76</v>
      </c>
      <c r="L27" s="22" t="s">
        <v>76</v>
      </c>
      <c r="M27" s="23" t="s">
        <v>105</v>
      </c>
      <c r="N27" s="22" t="s">
        <v>76</v>
      </c>
      <c r="O27" s="22" t="s">
        <v>76</v>
      </c>
      <c r="P27" s="23" t="s">
        <v>105</v>
      </c>
    </row>
    <row r="29" spans="1:16" x14ac:dyDescent="0.35">
      <c r="A29" s="45" t="s">
        <v>107</v>
      </c>
      <c r="B29" s="40"/>
      <c r="C29" s="40"/>
      <c r="D29" s="40"/>
      <c r="E29" s="40"/>
      <c r="F29" s="40"/>
      <c r="G29" s="40"/>
      <c r="H29" s="40"/>
    </row>
    <row r="30" spans="1:16" ht="26" x14ac:dyDescent="0.35">
      <c r="A30" s="28"/>
      <c r="B30" s="28" t="s">
        <v>108</v>
      </c>
      <c r="C30" s="28" t="s">
        <v>109</v>
      </c>
      <c r="D30" s="28" t="s">
        <v>110</v>
      </c>
      <c r="E30" s="28" t="s">
        <v>111</v>
      </c>
      <c r="F30" s="28" t="s">
        <v>112</v>
      </c>
      <c r="G30" s="28" t="s">
        <v>113</v>
      </c>
      <c r="H30" s="28" t="s">
        <v>114</v>
      </c>
    </row>
    <row r="31" spans="1:16" x14ac:dyDescent="0.35">
      <c r="A31" s="29" t="s">
        <v>71</v>
      </c>
      <c r="B31" s="30">
        <v>40</v>
      </c>
      <c r="C31" s="31">
        <v>96000</v>
      </c>
      <c r="D31" s="32">
        <f>B31/40</f>
        <v>1</v>
      </c>
      <c r="E31" s="31">
        <f>C31*D31/12</f>
        <v>8000</v>
      </c>
      <c r="F31" s="31">
        <f>C31*D31</f>
        <v>96000</v>
      </c>
      <c r="G31" s="31">
        <f>IF(E31&gt;=8000,E31*0.6,IF(E31&gt;=7000,E31*0.61,IF(E31&gt;=6000,E31*0.62,IF(E31&gt;=5000,E31*0.64,IF(E31&gt;=4000,E31*0.66,IF(E31&gt;=3000,E31*0.68,E31*0.7))))))</f>
        <v>4800</v>
      </c>
      <c r="H31" s="31">
        <f>G31*12</f>
        <v>57600</v>
      </c>
    </row>
    <row r="32" spans="1:16" ht="26" x14ac:dyDescent="0.35">
      <c r="A32" s="29" t="s">
        <v>115</v>
      </c>
      <c r="B32" s="30">
        <v>20</v>
      </c>
      <c r="C32" s="31">
        <v>84000</v>
      </c>
      <c r="D32" s="32">
        <f>B32/40</f>
        <v>0.5</v>
      </c>
      <c r="E32" s="31">
        <f>C32*D32/12</f>
        <v>3500</v>
      </c>
      <c r="F32" s="31">
        <f>C32*D32</f>
        <v>42000</v>
      </c>
      <c r="G32" s="31">
        <f>IF(E32&gt;=8000,E32*0.6,IF(E32&gt;=7000,E32*0.61,IF(E32&gt;=6000,E32*0.62,IF(E32&gt;=5000,E32*0.64,IF(E32&gt;=4000,E32*0.66,IF(E32&gt;=3000,E32*0.68,E32*0.7))))))</f>
        <v>2380</v>
      </c>
      <c r="H32" s="31">
        <f>G32*12</f>
        <v>28560</v>
      </c>
    </row>
    <row r="33" spans="1:8" ht="39" x14ac:dyDescent="0.35">
      <c r="A33" s="33" t="s">
        <v>116</v>
      </c>
      <c r="B33" s="34">
        <f>B31+B32</f>
        <v>60</v>
      </c>
      <c r="C33" s="33"/>
      <c r="D33" s="33"/>
      <c r="E33" s="35">
        <f>E31+E32</f>
        <v>11500</v>
      </c>
      <c r="F33" s="35">
        <f>F31+F32</f>
        <v>138000</v>
      </c>
      <c r="G33" s="35">
        <f>G31+G32</f>
        <v>7180</v>
      </c>
      <c r="H33" s="35">
        <f>H31+H32</f>
        <v>86160</v>
      </c>
    </row>
    <row r="35" spans="1:8" x14ac:dyDescent="0.35">
      <c r="A35" s="6" t="s">
        <v>117</v>
      </c>
      <c r="B35" s="36">
        <f>F33*0.7</f>
        <v>96600</v>
      </c>
    </row>
    <row r="36" spans="1:8" x14ac:dyDescent="0.35">
      <c r="A36" s="6" t="s">
        <v>118</v>
      </c>
      <c r="B36" s="37">
        <f>G33</f>
        <v>7180</v>
      </c>
    </row>
    <row r="38" spans="1:8" x14ac:dyDescent="0.35">
      <c r="A38" s="39" t="s">
        <v>119</v>
      </c>
      <c r="B38" s="40"/>
      <c r="C38" s="40"/>
      <c r="D38" s="40"/>
      <c r="E38" s="40"/>
      <c r="F38" s="40"/>
      <c r="G38" s="40"/>
      <c r="H38" s="40"/>
    </row>
    <row r="40" spans="1:8" x14ac:dyDescent="0.35">
      <c r="A40" s="6" t="s">
        <v>52</v>
      </c>
    </row>
    <row r="41" spans="1:8" x14ac:dyDescent="0.35">
      <c r="A41" s="7"/>
      <c r="B41" s="39" t="s">
        <v>53</v>
      </c>
      <c r="C41" s="40"/>
      <c r="D41" s="40"/>
      <c r="E41" s="40"/>
    </row>
    <row r="42" spans="1:8" x14ac:dyDescent="0.35">
      <c r="A42" s="9"/>
      <c r="B42" s="39" t="s">
        <v>54</v>
      </c>
      <c r="C42" s="40"/>
      <c r="D42" s="40"/>
      <c r="E42" s="40"/>
    </row>
    <row r="43" spans="1:8" x14ac:dyDescent="0.35">
      <c r="A43" s="10"/>
      <c r="B43" s="39" t="s">
        <v>55</v>
      </c>
      <c r="C43" s="40"/>
      <c r="D43" s="40"/>
      <c r="E43" s="40"/>
    </row>
    <row r="44" spans="1:8" x14ac:dyDescent="0.35">
      <c r="A44" s="11"/>
      <c r="B44" s="39" t="s">
        <v>56</v>
      </c>
      <c r="C44" s="40"/>
      <c r="D44" s="40"/>
      <c r="E44" s="40"/>
    </row>
    <row r="45" spans="1:8" x14ac:dyDescent="0.35">
      <c r="A45" s="12"/>
      <c r="B45" s="39" t="s">
        <v>57</v>
      </c>
      <c r="C45" s="40"/>
      <c r="D45" s="40"/>
      <c r="E45" s="40"/>
    </row>
    <row r="46" spans="1:8" x14ac:dyDescent="0.35">
      <c r="A46" s="13"/>
      <c r="B46" s="39" t="s">
        <v>58</v>
      </c>
      <c r="C46" s="40"/>
      <c r="D46" s="40"/>
      <c r="E46" s="40"/>
    </row>
    <row r="47" spans="1:8" x14ac:dyDescent="0.35">
      <c r="A47" s="14"/>
      <c r="B47" s="39" t="s">
        <v>59</v>
      </c>
      <c r="C47" s="40"/>
      <c r="D47" s="40"/>
      <c r="E47" s="40"/>
    </row>
    <row r="48" spans="1:8" x14ac:dyDescent="0.35">
      <c r="A48" s="15"/>
      <c r="B48" s="39" t="s">
        <v>60</v>
      </c>
      <c r="C48" s="40"/>
      <c r="D48" s="40"/>
      <c r="E48" s="40"/>
    </row>
    <row r="49" spans="1:5" x14ac:dyDescent="0.35">
      <c r="A49" s="16"/>
      <c r="B49" s="39" t="s">
        <v>61</v>
      </c>
      <c r="C49" s="40"/>
      <c r="D49" s="40"/>
      <c r="E49" s="40"/>
    </row>
  </sheetData>
  <mergeCells count="19">
    <mergeCell ref="A1:P1"/>
    <mergeCell ref="H5:J5"/>
    <mergeCell ref="B48:E48"/>
    <mergeCell ref="B42:E42"/>
    <mergeCell ref="A29:H29"/>
    <mergeCell ref="E5:G5"/>
    <mergeCell ref="K5:M5"/>
    <mergeCell ref="A38:H38"/>
    <mergeCell ref="B44:E44"/>
    <mergeCell ref="A2:P2"/>
    <mergeCell ref="B49:E49"/>
    <mergeCell ref="N5:P5"/>
    <mergeCell ref="A4:P4"/>
    <mergeCell ref="B45:E45"/>
    <mergeCell ref="B41:E41"/>
    <mergeCell ref="B47:E47"/>
    <mergeCell ref="B46:E46"/>
    <mergeCell ref="B5:D5"/>
    <mergeCell ref="B43:E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9"/>
  <sheetViews>
    <sheetView workbookViewId="0"/>
  </sheetViews>
  <sheetFormatPr baseColWidth="10" defaultColWidth="8.7265625" defaultRowHeight="14.5" x14ac:dyDescent="0.35"/>
  <cols>
    <col min="1" max="1" width="8" customWidth="1"/>
    <col min="2" max="16" width="11" customWidth="1"/>
  </cols>
  <sheetData>
    <row r="1" spans="1:16" x14ac:dyDescent="0.35">
      <c r="A1" s="44" t="s">
        <v>124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35">
      <c r="A2" s="39" t="s">
        <v>125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16" x14ac:dyDescent="0.35">
      <c r="A4" s="43" t="s">
        <v>64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18" x14ac:dyDescent="0.35">
      <c r="A5" s="17" t="s">
        <v>65</v>
      </c>
      <c r="B5" s="42" t="s">
        <v>66</v>
      </c>
      <c r="C5" s="40"/>
      <c r="D5" s="40"/>
      <c r="E5" s="42" t="s">
        <v>67</v>
      </c>
      <c r="F5" s="40"/>
      <c r="G5" s="40"/>
      <c r="H5" s="42" t="s">
        <v>68</v>
      </c>
      <c r="I5" s="40"/>
      <c r="J5" s="40"/>
      <c r="K5" s="42" t="s">
        <v>69</v>
      </c>
      <c r="L5" s="40"/>
      <c r="M5" s="40"/>
      <c r="N5" s="42" t="s">
        <v>70</v>
      </c>
      <c r="O5" s="40"/>
      <c r="P5" s="40"/>
    </row>
    <row r="6" spans="1:16" x14ac:dyDescent="0.35">
      <c r="A6" s="18"/>
      <c r="B6" s="19" t="s">
        <v>71</v>
      </c>
      <c r="C6" s="19" t="s">
        <v>72</v>
      </c>
      <c r="D6" s="19" t="s">
        <v>73</v>
      </c>
      <c r="E6" s="19" t="s">
        <v>71</v>
      </c>
      <c r="F6" s="19" t="s">
        <v>72</v>
      </c>
      <c r="G6" s="19" t="s">
        <v>73</v>
      </c>
      <c r="H6" s="19" t="s">
        <v>71</v>
      </c>
      <c r="I6" s="19" t="s">
        <v>72</v>
      </c>
      <c r="J6" s="19" t="s">
        <v>73</v>
      </c>
      <c r="K6" s="19" t="s">
        <v>71</v>
      </c>
      <c r="L6" s="19" t="s">
        <v>72</v>
      </c>
      <c r="M6" s="19" t="s">
        <v>73</v>
      </c>
      <c r="N6" s="19" t="s">
        <v>71</v>
      </c>
      <c r="O6" s="19" t="s">
        <v>72</v>
      </c>
      <c r="P6" s="19" t="s">
        <v>73</v>
      </c>
    </row>
    <row r="7" spans="1:16" x14ac:dyDescent="0.35">
      <c r="A7" s="20" t="s">
        <v>74</v>
      </c>
      <c r="B7" s="21" t="s">
        <v>75</v>
      </c>
      <c r="C7" s="22" t="s">
        <v>76</v>
      </c>
      <c r="D7" s="23" t="s">
        <v>77</v>
      </c>
      <c r="E7" s="21" t="s">
        <v>75</v>
      </c>
      <c r="F7" s="22" t="s">
        <v>76</v>
      </c>
      <c r="G7" s="23" t="s">
        <v>77</v>
      </c>
      <c r="H7" s="21" t="s">
        <v>75</v>
      </c>
      <c r="I7" s="22" t="s">
        <v>76</v>
      </c>
      <c r="J7" s="23" t="s">
        <v>77</v>
      </c>
      <c r="K7" s="22" t="s">
        <v>76</v>
      </c>
      <c r="L7" s="21" t="s">
        <v>75</v>
      </c>
      <c r="M7" s="23" t="s">
        <v>78</v>
      </c>
      <c r="N7" s="22" t="s">
        <v>76</v>
      </c>
      <c r="O7" s="21" t="s">
        <v>75</v>
      </c>
      <c r="P7" s="23" t="s">
        <v>78</v>
      </c>
    </row>
    <row r="8" spans="1:16" x14ac:dyDescent="0.35">
      <c r="A8" s="20" t="s">
        <v>79</v>
      </c>
      <c r="B8" s="24" t="s">
        <v>53</v>
      </c>
      <c r="C8" s="25" t="s">
        <v>80</v>
      </c>
      <c r="D8" s="23" t="s">
        <v>81</v>
      </c>
      <c r="E8" s="24" t="s">
        <v>53</v>
      </c>
      <c r="F8" s="25" t="s">
        <v>80</v>
      </c>
      <c r="G8" s="23" t="s">
        <v>81</v>
      </c>
      <c r="H8" s="24" t="s">
        <v>53</v>
      </c>
      <c r="I8" s="25" t="s">
        <v>80</v>
      </c>
      <c r="J8" s="23" t="s">
        <v>81</v>
      </c>
      <c r="K8" s="25" t="s">
        <v>80</v>
      </c>
      <c r="L8" s="24" t="s">
        <v>53</v>
      </c>
      <c r="M8" s="23" t="s">
        <v>82</v>
      </c>
      <c r="N8" s="25" t="s">
        <v>80</v>
      </c>
      <c r="O8" s="24" t="s">
        <v>53</v>
      </c>
      <c r="P8" s="23" t="s">
        <v>82</v>
      </c>
    </row>
    <row r="9" spans="1:16" x14ac:dyDescent="0.35">
      <c r="A9" s="20" t="s">
        <v>83</v>
      </c>
      <c r="B9" s="24" t="s">
        <v>53</v>
      </c>
      <c r="C9" s="25" t="s">
        <v>80</v>
      </c>
      <c r="D9" s="23" t="s">
        <v>81</v>
      </c>
      <c r="E9" s="24" t="s">
        <v>53</v>
      </c>
      <c r="F9" s="25" t="s">
        <v>80</v>
      </c>
      <c r="G9" s="23" t="s">
        <v>81</v>
      </c>
      <c r="H9" s="24" t="s">
        <v>53</v>
      </c>
      <c r="I9" s="25" t="s">
        <v>80</v>
      </c>
      <c r="J9" s="23" t="s">
        <v>81</v>
      </c>
      <c r="K9" s="25" t="s">
        <v>80</v>
      </c>
      <c r="L9" s="24" t="s">
        <v>53</v>
      </c>
      <c r="M9" s="23" t="s">
        <v>82</v>
      </c>
      <c r="N9" s="25" t="s">
        <v>80</v>
      </c>
      <c r="O9" s="24" t="s">
        <v>53</v>
      </c>
      <c r="P9" s="23" t="s">
        <v>82</v>
      </c>
    </row>
    <row r="10" spans="1:16" x14ac:dyDescent="0.35">
      <c r="A10" s="20" t="s">
        <v>84</v>
      </c>
      <c r="B10" s="24" t="s">
        <v>53</v>
      </c>
      <c r="C10" s="25" t="s">
        <v>80</v>
      </c>
      <c r="D10" s="23" t="s">
        <v>81</v>
      </c>
      <c r="E10" s="24" t="s">
        <v>53</v>
      </c>
      <c r="F10" s="25" t="s">
        <v>80</v>
      </c>
      <c r="G10" s="23" t="s">
        <v>81</v>
      </c>
      <c r="H10" s="24" t="s">
        <v>53</v>
      </c>
      <c r="I10" s="25" t="s">
        <v>80</v>
      </c>
      <c r="J10" s="23" t="s">
        <v>81</v>
      </c>
      <c r="K10" s="25" t="s">
        <v>80</v>
      </c>
      <c r="L10" s="24" t="s">
        <v>53</v>
      </c>
      <c r="M10" s="23" t="s">
        <v>82</v>
      </c>
      <c r="N10" s="25" t="s">
        <v>80</v>
      </c>
      <c r="O10" s="24" t="s">
        <v>53</v>
      </c>
      <c r="P10" s="23" t="s">
        <v>82</v>
      </c>
    </row>
    <row r="11" spans="1:16" x14ac:dyDescent="0.35">
      <c r="A11" s="20" t="s">
        <v>85</v>
      </c>
      <c r="B11" s="24" t="s">
        <v>53</v>
      </c>
      <c r="C11" s="25" t="s">
        <v>80</v>
      </c>
      <c r="D11" s="23" t="s">
        <v>81</v>
      </c>
      <c r="E11" s="24" t="s">
        <v>53</v>
      </c>
      <c r="F11" s="25" t="s">
        <v>80</v>
      </c>
      <c r="G11" s="23" t="s">
        <v>81</v>
      </c>
      <c r="H11" s="24" t="s">
        <v>53</v>
      </c>
      <c r="I11" s="25" t="s">
        <v>80</v>
      </c>
      <c r="J11" s="23" t="s">
        <v>81</v>
      </c>
      <c r="K11" s="25" t="s">
        <v>80</v>
      </c>
      <c r="L11" s="24" t="s">
        <v>53</v>
      </c>
      <c r="M11" s="23" t="s">
        <v>82</v>
      </c>
      <c r="N11" s="25" t="s">
        <v>80</v>
      </c>
      <c r="O11" s="24" t="s">
        <v>53</v>
      </c>
      <c r="P11" s="23" t="s">
        <v>82</v>
      </c>
    </row>
    <row r="12" spans="1:16" x14ac:dyDescent="0.35">
      <c r="A12" s="20" t="s">
        <v>86</v>
      </c>
      <c r="B12" s="24" t="s">
        <v>53</v>
      </c>
      <c r="C12" s="25" t="s">
        <v>80</v>
      </c>
      <c r="D12" s="23" t="s">
        <v>81</v>
      </c>
      <c r="E12" s="24" t="s">
        <v>53</v>
      </c>
      <c r="F12" s="25" t="s">
        <v>80</v>
      </c>
      <c r="G12" s="23" t="s">
        <v>81</v>
      </c>
      <c r="H12" s="24" t="s">
        <v>53</v>
      </c>
      <c r="I12" s="25" t="s">
        <v>80</v>
      </c>
      <c r="J12" s="23" t="s">
        <v>81</v>
      </c>
      <c r="K12" s="25" t="s">
        <v>80</v>
      </c>
      <c r="L12" s="24" t="s">
        <v>53</v>
      </c>
      <c r="M12" s="23" t="s">
        <v>82</v>
      </c>
      <c r="N12" s="25" t="s">
        <v>80</v>
      </c>
      <c r="O12" s="24" t="s">
        <v>53</v>
      </c>
      <c r="P12" s="23" t="s">
        <v>82</v>
      </c>
    </row>
    <row r="13" spans="1:16" x14ac:dyDescent="0.35">
      <c r="A13" s="20" t="s">
        <v>87</v>
      </c>
      <c r="B13" s="24" t="s">
        <v>53</v>
      </c>
      <c r="C13" s="25" t="s">
        <v>80</v>
      </c>
      <c r="D13" s="23" t="s">
        <v>81</v>
      </c>
      <c r="E13" s="24" t="s">
        <v>53</v>
      </c>
      <c r="F13" s="25" t="s">
        <v>80</v>
      </c>
      <c r="G13" s="23" t="s">
        <v>81</v>
      </c>
      <c r="H13" s="24" t="s">
        <v>53</v>
      </c>
      <c r="I13" s="25" t="s">
        <v>80</v>
      </c>
      <c r="J13" s="23" t="s">
        <v>81</v>
      </c>
      <c r="K13" s="25" t="s">
        <v>80</v>
      </c>
      <c r="L13" s="24" t="s">
        <v>53</v>
      </c>
      <c r="M13" s="23" t="s">
        <v>82</v>
      </c>
      <c r="N13" s="25" t="s">
        <v>80</v>
      </c>
      <c r="O13" s="24" t="s">
        <v>53</v>
      </c>
      <c r="P13" s="23" t="s">
        <v>82</v>
      </c>
    </row>
    <row r="14" spans="1:16" x14ac:dyDescent="0.35">
      <c r="A14" s="20" t="s">
        <v>88</v>
      </c>
      <c r="B14" s="24" t="s">
        <v>53</v>
      </c>
      <c r="C14" s="25" t="s">
        <v>80</v>
      </c>
      <c r="D14" s="23" t="s">
        <v>81</v>
      </c>
      <c r="E14" s="24" t="s">
        <v>53</v>
      </c>
      <c r="F14" s="25" t="s">
        <v>80</v>
      </c>
      <c r="G14" s="23" t="s">
        <v>81</v>
      </c>
      <c r="H14" s="24" t="s">
        <v>53</v>
      </c>
      <c r="I14" s="25" t="s">
        <v>80</v>
      </c>
      <c r="J14" s="23" t="s">
        <v>81</v>
      </c>
      <c r="K14" s="25" t="s">
        <v>80</v>
      </c>
      <c r="L14" s="24" t="s">
        <v>53</v>
      </c>
      <c r="M14" s="23" t="s">
        <v>82</v>
      </c>
      <c r="N14" s="25" t="s">
        <v>80</v>
      </c>
      <c r="O14" s="24" t="s">
        <v>53</v>
      </c>
      <c r="P14" s="23" t="s">
        <v>82</v>
      </c>
    </row>
    <row r="15" spans="1:16" x14ac:dyDescent="0.35">
      <c r="A15" s="20" t="s">
        <v>89</v>
      </c>
      <c r="B15" s="24" t="s">
        <v>53</v>
      </c>
      <c r="C15" s="25" t="s">
        <v>80</v>
      </c>
      <c r="D15" s="23" t="s">
        <v>81</v>
      </c>
      <c r="E15" s="24" t="s">
        <v>53</v>
      </c>
      <c r="F15" s="25" t="s">
        <v>80</v>
      </c>
      <c r="G15" s="23" t="s">
        <v>81</v>
      </c>
      <c r="H15" s="24" t="s">
        <v>53</v>
      </c>
      <c r="I15" s="25" t="s">
        <v>80</v>
      </c>
      <c r="J15" s="23" t="s">
        <v>81</v>
      </c>
      <c r="K15" s="25" t="s">
        <v>80</v>
      </c>
      <c r="L15" s="24" t="s">
        <v>53</v>
      </c>
      <c r="M15" s="23" t="s">
        <v>82</v>
      </c>
      <c r="N15" s="25" t="s">
        <v>80</v>
      </c>
      <c r="O15" s="24" t="s">
        <v>53</v>
      </c>
      <c r="P15" s="23" t="s">
        <v>82</v>
      </c>
    </row>
    <row r="16" spans="1:16" x14ac:dyDescent="0.35">
      <c r="A16" s="20" t="s">
        <v>90</v>
      </c>
      <c r="B16" s="26" t="s">
        <v>91</v>
      </c>
      <c r="C16" s="27" t="s">
        <v>91</v>
      </c>
      <c r="D16" s="23" t="s">
        <v>92</v>
      </c>
      <c r="E16" s="26" t="s">
        <v>91</v>
      </c>
      <c r="F16" s="27" t="s">
        <v>91</v>
      </c>
      <c r="G16" s="23" t="s">
        <v>92</v>
      </c>
      <c r="H16" s="21" t="s">
        <v>93</v>
      </c>
      <c r="I16" s="27" t="s">
        <v>91</v>
      </c>
      <c r="J16" s="23" t="s">
        <v>92</v>
      </c>
      <c r="K16" s="27" t="s">
        <v>91</v>
      </c>
      <c r="L16" s="26" t="s">
        <v>91</v>
      </c>
      <c r="M16" s="23" t="s">
        <v>94</v>
      </c>
      <c r="N16" s="27" t="s">
        <v>91</v>
      </c>
      <c r="O16" s="26" t="s">
        <v>91</v>
      </c>
      <c r="P16" s="23" t="s">
        <v>94</v>
      </c>
    </row>
    <row r="17" spans="1:16" x14ac:dyDescent="0.35">
      <c r="A17" s="20" t="s">
        <v>95</v>
      </c>
      <c r="B17" s="24" t="s">
        <v>53</v>
      </c>
      <c r="C17" s="25" t="s">
        <v>80</v>
      </c>
      <c r="D17" s="23" t="s">
        <v>81</v>
      </c>
      <c r="E17" s="24" t="s">
        <v>53</v>
      </c>
      <c r="F17" s="25" t="s">
        <v>80</v>
      </c>
      <c r="G17" s="23" t="s">
        <v>81</v>
      </c>
      <c r="H17" s="27" t="s">
        <v>91</v>
      </c>
      <c r="I17" s="21" t="s">
        <v>75</v>
      </c>
      <c r="J17" s="23" t="s">
        <v>94</v>
      </c>
      <c r="K17" s="25" t="s">
        <v>80</v>
      </c>
      <c r="L17" s="24" t="s">
        <v>53</v>
      </c>
      <c r="M17" s="23" t="s">
        <v>82</v>
      </c>
      <c r="N17" s="25" t="s">
        <v>80</v>
      </c>
      <c r="O17" s="24" t="s">
        <v>53</v>
      </c>
      <c r="P17" s="23" t="s">
        <v>82</v>
      </c>
    </row>
    <row r="18" spans="1:16" x14ac:dyDescent="0.35">
      <c r="A18" s="20" t="s">
        <v>96</v>
      </c>
      <c r="B18" s="24" t="s">
        <v>53</v>
      </c>
      <c r="C18" s="25" t="s">
        <v>80</v>
      </c>
      <c r="D18" s="23" t="s">
        <v>81</v>
      </c>
      <c r="E18" s="24" t="s">
        <v>53</v>
      </c>
      <c r="F18" s="25" t="s">
        <v>80</v>
      </c>
      <c r="G18" s="23" t="s">
        <v>81</v>
      </c>
      <c r="H18" s="25" t="s">
        <v>80</v>
      </c>
      <c r="I18" s="24" t="s">
        <v>53</v>
      </c>
      <c r="J18" s="23" t="s">
        <v>82</v>
      </c>
      <c r="K18" s="25" t="s">
        <v>80</v>
      </c>
      <c r="L18" s="24" t="s">
        <v>53</v>
      </c>
      <c r="M18" s="23" t="s">
        <v>82</v>
      </c>
      <c r="N18" s="25" t="s">
        <v>80</v>
      </c>
      <c r="O18" s="24" t="s">
        <v>53</v>
      </c>
      <c r="P18" s="23" t="s">
        <v>82</v>
      </c>
    </row>
    <row r="19" spans="1:16" x14ac:dyDescent="0.35">
      <c r="A19" s="20" t="s">
        <v>97</v>
      </c>
      <c r="B19" s="24" t="s">
        <v>53</v>
      </c>
      <c r="C19" s="25" t="s">
        <v>80</v>
      </c>
      <c r="D19" s="23" t="s">
        <v>81</v>
      </c>
      <c r="E19" s="24" t="s">
        <v>53</v>
      </c>
      <c r="F19" s="25" t="s">
        <v>80</v>
      </c>
      <c r="G19" s="23" t="s">
        <v>81</v>
      </c>
      <c r="H19" s="25" t="s">
        <v>80</v>
      </c>
      <c r="I19" s="24" t="s">
        <v>53</v>
      </c>
      <c r="J19" s="23" t="s">
        <v>82</v>
      </c>
      <c r="K19" s="25" t="s">
        <v>80</v>
      </c>
      <c r="L19" s="24" t="s">
        <v>53</v>
      </c>
      <c r="M19" s="23" t="s">
        <v>82</v>
      </c>
      <c r="N19" s="25" t="s">
        <v>80</v>
      </c>
      <c r="O19" s="24" t="s">
        <v>53</v>
      </c>
      <c r="P19" s="23" t="s">
        <v>82</v>
      </c>
    </row>
    <row r="20" spans="1:16" x14ac:dyDescent="0.35">
      <c r="A20" s="20" t="s">
        <v>98</v>
      </c>
      <c r="B20" s="24" t="s">
        <v>53</v>
      </c>
      <c r="C20" s="25" t="s">
        <v>80</v>
      </c>
      <c r="D20" s="23" t="s">
        <v>81</v>
      </c>
      <c r="E20" s="24" t="s">
        <v>53</v>
      </c>
      <c r="F20" s="25" t="s">
        <v>80</v>
      </c>
      <c r="G20" s="23" t="s">
        <v>81</v>
      </c>
      <c r="H20" s="25" t="s">
        <v>80</v>
      </c>
      <c r="I20" s="24" t="s">
        <v>53</v>
      </c>
      <c r="J20" s="23" t="s">
        <v>82</v>
      </c>
      <c r="K20" s="25" t="s">
        <v>80</v>
      </c>
      <c r="L20" s="24" t="s">
        <v>53</v>
      </c>
      <c r="M20" s="23" t="s">
        <v>82</v>
      </c>
      <c r="N20" s="25" t="s">
        <v>80</v>
      </c>
      <c r="O20" s="24" t="s">
        <v>53</v>
      </c>
      <c r="P20" s="23" t="s">
        <v>82</v>
      </c>
    </row>
    <row r="21" spans="1:16" x14ac:dyDescent="0.35">
      <c r="A21" s="20" t="s">
        <v>99</v>
      </c>
      <c r="B21" s="24" t="s">
        <v>53</v>
      </c>
      <c r="C21" s="25" t="s">
        <v>80</v>
      </c>
      <c r="D21" s="23" t="s">
        <v>81</v>
      </c>
      <c r="E21" s="24" t="s">
        <v>53</v>
      </c>
      <c r="F21" s="25" t="s">
        <v>80</v>
      </c>
      <c r="G21" s="23" t="s">
        <v>81</v>
      </c>
      <c r="H21" s="25" t="s">
        <v>80</v>
      </c>
      <c r="I21" s="24" t="s">
        <v>53</v>
      </c>
      <c r="J21" s="23" t="s">
        <v>82</v>
      </c>
      <c r="K21" s="25" t="s">
        <v>80</v>
      </c>
      <c r="L21" s="24" t="s">
        <v>53</v>
      </c>
      <c r="M21" s="23" t="s">
        <v>82</v>
      </c>
      <c r="N21" s="25" t="s">
        <v>80</v>
      </c>
      <c r="O21" s="24" t="s">
        <v>53</v>
      </c>
      <c r="P21" s="23" t="s">
        <v>82</v>
      </c>
    </row>
    <row r="22" spans="1:16" x14ac:dyDescent="0.35">
      <c r="A22" s="20" t="s">
        <v>100</v>
      </c>
      <c r="B22" s="24" t="s">
        <v>53</v>
      </c>
      <c r="C22" s="25" t="s">
        <v>80</v>
      </c>
      <c r="D22" s="23" t="s">
        <v>81</v>
      </c>
      <c r="E22" s="24" t="s">
        <v>53</v>
      </c>
      <c r="F22" s="25" t="s">
        <v>80</v>
      </c>
      <c r="G22" s="23" t="s">
        <v>81</v>
      </c>
      <c r="H22" s="25" t="s">
        <v>80</v>
      </c>
      <c r="I22" s="24" t="s">
        <v>53</v>
      </c>
      <c r="J22" s="23" t="s">
        <v>82</v>
      </c>
      <c r="K22" s="25" t="s">
        <v>80</v>
      </c>
      <c r="L22" s="24" t="s">
        <v>53</v>
      </c>
      <c r="M22" s="23" t="s">
        <v>82</v>
      </c>
      <c r="N22" s="25" t="s">
        <v>80</v>
      </c>
      <c r="O22" s="24" t="s">
        <v>53</v>
      </c>
      <c r="P22" s="23" t="s">
        <v>82</v>
      </c>
    </row>
    <row r="23" spans="1:16" x14ac:dyDescent="0.35">
      <c r="A23" s="20" t="s">
        <v>101</v>
      </c>
      <c r="B23" s="21" t="s">
        <v>93</v>
      </c>
      <c r="C23" s="22" t="s">
        <v>76</v>
      </c>
      <c r="D23" s="23" t="s">
        <v>77</v>
      </c>
      <c r="E23" s="21" t="s">
        <v>93</v>
      </c>
      <c r="F23" s="22" t="s">
        <v>76</v>
      </c>
      <c r="G23" s="23" t="s">
        <v>77</v>
      </c>
      <c r="H23" s="25" t="s">
        <v>80</v>
      </c>
      <c r="I23" s="24" t="s">
        <v>53</v>
      </c>
      <c r="J23" s="23" t="s">
        <v>82</v>
      </c>
      <c r="K23" s="22" t="s">
        <v>76</v>
      </c>
      <c r="L23" s="21" t="s">
        <v>93</v>
      </c>
      <c r="M23" s="23" t="s">
        <v>78</v>
      </c>
      <c r="N23" s="22" t="s">
        <v>76</v>
      </c>
      <c r="O23" s="21" t="s">
        <v>93</v>
      </c>
      <c r="P23" s="23" t="s">
        <v>78</v>
      </c>
    </row>
    <row r="24" spans="1:16" x14ac:dyDescent="0.35">
      <c r="A24" s="20" t="s">
        <v>102</v>
      </c>
      <c r="B24" s="22" t="s">
        <v>76</v>
      </c>
      <c r="C24" s="22" t="s">
        <v>76</v>
      </c>
      <c r="D24" s="23" t="s">
        <v>105</v>
      </c>
      <c r="E24" s="22" t="s">
        <v>76</v>
      </c>
      <c r="F24" s="22" t="s">
        <v>76</v>
      </c>
      <c r="G24" s="23" t="s">
        <v>105</v>
      </c>
      <c r="H24" s="22" t="s">
        <v>76</v>
      </c>
      <c r="I24" s="22" t="s">
        <v>76</v>
      </c>
      <c r="J24" s="23" t="s">
        <v>105</v>
      </c>
      <c r="K24" s="22" t="s">
        <v>76</v>
      </c>
      <c r="L24" s="22" t="s">
        <v>76</v>
      </c>
      <c r="M24" s="23" t="s">
        <v>105</v>
      </c>
      <c r="N24" s="22" t="s">
        <v>76</v>
      </c>
      <c r="O24" s="22" t="s">
        <v>76</v>
      </c>
      <c r="P24" s="23" t="s">
        <v>105</v>
      </c>
    </row>
    <row r="25" spans="1:16" x14ac:dyDescent="0.35">
      <c r="A25" s="20" t="s">
        <v>103</v>
      </c>
      <c r="B25" s="22" t="s">
        <v>76</v>
      </c>
      <c r="C25" s="22" t="s">
        <v>76</v>
      </c>
      <c r="D25" s="23" t="s">
        <v>105</v>
      </c>
      <c r="E25" s="22" t="s">
        <v>76</v>
      </c>
      <c r="F25" s="22" t="s">
        <v>76</v>
      </c>
      <c r="G25" s="23" t="s">
        <v>105</v>
      </c>
      <c r="H25" s="22" t="s">
        <v>76</v>
      </c>
      <c r="I25" s="22" t="s">
        <v>76</v>
      </c>
      <c r="J25" s="23" t="s">
        <v>105</v>
      </c>
      <c r="K25" s="22" t="s">
        <v>76</v>
      </c>
      <c r="L25" s="22" t="s">
        <v>76</v>
      </c>
      <c r="M25" s="23" t="s">
        <v>105</v>
      </c>
      <c r="N25" s="22" t="s">
        <v>76</v>
      </c>
      <c r="O25" s="22" t="s">
        <v>76</v>
      </c>
      <c r="P25" s="23" t="s">
        <v>105</v>
      </c>
    </row>
    <row r="26" spans="1:16" x14ac:dyDescent="0.35">
      <c r="A26" s="20" t="s">
        <v>104</v>
      </c>
      <c r="B26" s="22" t="s">
        <v>76</v>
      </c>
      <c r="C26" s="22" t="s">
        <v>76</v>
      </c>
      <c r="D26" s="23" t="s">
        <v>105</v>
      </c>
      <c r="E26" s="22" t="s">
        <v>76</v>
      </c>
      <c r="F26" s="22" t="s">
        <v>76</v>
      </c>
      <c r="G26" s="23" t="s">
        <v>105</v>
      </c>
      <c r="H26" s="22" t="s">
        <v>76</v>
      </c>
      <c r="I26" s="22" t="s">
        <v>76</v>
      </c>
      <c r="J26" s="23" t="s">
        <v>105</v>
      </c>
      <c r="K26" s="22" t="s">
        <v>76</v>
      </c>
      <c r="L26" s="22" t="s">
        <v>76</v>
      </c>
      <c r="M26" s="23" t="s">
        <v>105</v>
      </c>
      <c r="N26" s="22" t="s">
        <v>76</v>
      </c>
      <c r="O26" s="22" t="s">
        <v>76</v>
      </c>
      <c r="P26" s="23" t="s">
        <v>105</v>
      </c>
    </row>
    <row r="27" spans="1:16" x14ac:dyDescent="0.35">
      <c r="A27" s="20" t="s">
        <v>106</v>
      </c>
      <c r="B27" s="22" t="s">
        <v>76</v>
      </c>
      <c r="C27" s="22" t="s">
        <v>76</v>
      </c>
      <c r="D27" s="23" t="s">
        <v>105</v>
      </c>
      <c r="E27" s="22" t="s">
        <v>76</v>
      </c>
      <c r="F27" s="22" t="s">
        <v>76</v>
      </c>
      <c r="G27" s="23" t="s">
        <v>105</v>
      </c>
      <c r="H27" s="22" t="s">
        <v>76</v>
      </c>
      <c r="I27" s="22" t="s">
        <v>76</v>
      </c>
      <c r="J27" s="23" t="s">
        <v>105</v>
      </c>
      <c r="K27" s="22" t="s">
        <v>76</v>
      </c>
      <c r="L27" s="22" t="s">
        <v>76</v>
      </c>
      <c r="M27" s="23" t="s">
        <v>105</v>
      </c>
      <c r="N27" s="22" t="s">
        <v>76</v>
      </c>
      <c r="O27" s="22" t="s">
        <v>76</v>
      </c>
      <c r="P27" s="23" t="s">
        <v>105</v>
      </c>
    </row>
    <row r="29" spans="1:16" x14ac:dyDescent="0.35">
      <c r="A29" s="45" t="s">
        <v>107</v>
      </c>
      <c r="B29" s="40"/>
      <c r="C29" s="40"/>
      <c r="D29" s="40"/>
      <c r="E29" s="40"/>
      <c r="F29" s="40"/>
      <c r="G29" s="40"/>
      <c r="H29" s="40"/>
    </row>
    <row r="30" spans="1:16" ht="26" x14ac:dyDescent="0.35">
      <c r="A30" s="28"/>
      <c r="B30" s="28" t="s">
        <v>108</v>
      </c>
      <c r="C30" s="28" t="s">
        <v>109</v>
      </c>
      <c r="D30" s="28" t="s">
        <v>110</v>
      </c>
      <c r="E30" s="28" t="s">
        <v>111</v>
      </c>
      <c r="F30" s="28" t="s">
        <v>112</v>
      </c>
      <c r="G30" s="28" t="s">
        <v>113</v>
      </c>
      <c r="H30" s="28" t="s">
        <v>114</v>
      </c>
    </row>
    <row r="31" spans="1:16" x14ac:dyDescent="0.35">
      <c r="A31" s="29" t="s">
        <v>71</v>
      </c>
      <c r="B31" s="30">
        <v>35</v>
      </c>
      <c r="C31" s="31">
        <v>96000</v>
      </c>
      <c r="D31" s="32">
        <f>B31/40</f>
        <v>0.875</v>
      </c>
      <c r="E31" s="31">
        <f>C31*D31/12</f>
        <v>7000</v>
      </c>
      <c r="F31" s="31">
        <f>C31*D31</f>
        <v>84000</v>
      </c>
      <c r="G31" s="31">
        <f>IF(E31&gt;=8000,E31*0.6,IF(E31&gt;=7000,E31*0.61,IF(E31&gt;=6000,E31*0.62,IF(E31&gt;=5000,E31*0.64,IF(E31&gt;=4000,E31*0.66,IF(E31&gt;=3000,E31*0.68,E31*0.7))))))</f>
        <v>4270</v>
      </c>
      <c r="H31" s="31">
        <f>G31*12</f>
        <v>51240</v>
      </c>
    </row>
    <row r="32" spans="1:16" ht="26" x14ac:dyDescent="0.35">
      <c r="A32" s="29" t="s">
        <v>115</v>
      </c>
      <c r="B32" s="30">
        <v>35</v>
      </c>
      <c r="C32" s="31">
        <v>84000</v>
      </c>
      <c r="D32" s="32">
        <f>B32/40</f>
        <v>0.875</v>
      </c>
      <c r="E32" s="31">
        <f>C32*D32/12</f>
        <v>6125</v>
      </c>
      <c r="F32" s="31">
        <f>C32*D32</f>
        <v>73500</v>
      </c>
      <c r="G32" s="31">
        <f>IF(E32&gt;=8000,E32*0.6,IF(E32&gt;=7000,E32*0.61,IF(E32&gt;=6000,E32*0.62,IF(E32&gt;=5000,E32*0.64,IF(E32&gt;=4000,E32*0.66,IF(E32&gt;=3000,E32*0.68,E32*0.7))))))</f>
        <v>3797.5</v>
      </c>
      <c r="H32" s="31">
        <f>G32*12</f>
        <v>45570</v>
      </c>
    </row>
    <row r="33" spans="1:8" ht="39" x14ac:dyDescent="0.35">
      <c r="A33" s="33" t="s">
        <v>116</v>
      </c>
      <c r="B33" s="34">
        <f>B31+B32</f>
        <v>70</v>
      </c>
      <c r="C33" s="33"/>
      <c r="D33" s="33"/>
      <c r="E33" s="35">
        <f>E31+E32</f>
        <v>13125</v>
      </c>
      <c r="F33" s="35">
        <f>F31+F32</f>
        <v>157500</v>
      </c>
      <c r="G33" s="35">
        <f>G31+G32</f>
        <v>8067.5</v>
      </c>
      <c r="H33" s="35">
        <f>H31+H32</f>
        <v>96810</v>
      </c>
    </row>
    <row r="35" spans="1:8" x14ac:dyDescent="0.35">
      <c r="A35" s="6" t="s">
        <v>117</v>
      </c>
      <c r="B35" s="36">
        <f>F33*0.7</f>
        <v>110250</v>
      </c>
    </row>
    <row r="36" spans="1:8" x14ac:dyDescent="0.35">
      <c r="A36" s="6" t="s">
        <v>118</v>
      </c>
      <c r="B36" s="37">
        <f>G33</f>
        <v>8067.5</v>
      </c>
    </row>
    <row r="38" spans="1:8" x14ac:dyDescent="0.35">
      <c r="A38" s="39" t="s">
        <v>119</v>
      </c>
      <c r="B38" s="40"/>
      <c r="C38" s="40"/>
      <c r="D38" s="40"/>
      <c r="E38" s="40"/>
      <c r="F38" s="40"/>
      <c r="G38" s="40"/>
      <c r="H38" s="40"/>
    </row>
    <row r="40" spans="1:8" x14ac:dyDescent="0.35">
      <c r="A40" s="6" t="s">
        <v>52</v>
      </c>
    </row>
    <row r="41" spans="1:8" x14ac:dyDescent="0.35">
      <c r="A41" s="7"/>
      <c r="B41" s="39" t="s">
        <v>53</v>
      </c>
      <c r="C41" s="40"/>
      <c r="D41" s="40"/>
      <c r="E41" s="40"/>
    </row>
    <row r="42" spans="1:8" x14ac:dyDescent="0.35">
      <c r="A42" s="9"/>
      <c r="B42" s="39" t="s">
        <v>54</v>
      </c>
      <c r="C42" s="40"/>
      <c r="D42" s="40"/>
      <c r="E42" s="40"/>
    </row>
    <row r="43" spans="1:8" x14ac:dyDescent="0.35">
      <c r="A43" s="10"/>
      <c r="B43" s="39" t="s">
        <v>55</v>
      </c>
      <c r="C43" s="40"/>
      <c r="D43" s="40"/>
      <c r="E43" s="40"/>
    </row>
    <row r="44" spans="1:8" x14ac:dyDescent="0.35">
      <c r="A44" s="11"/>
      <c r="B44" s="39" t="s">
        <v>56</v>
      </c>
      <c r="C44" s="40"/>
      <c r="D44" s="40"/>
      <c r="E44" s="40"/>
    </row>
    <row r="45" spans="1:8" x14ac:dyDescent="0.35">
      <c r="A45" s="12"/>
      <c r="B45" s="39" t="s">
        <v>57</v>
      </c>
      <c r="C45" s="40"/>
      <c r="D45" s="40"/>
      <c r="E45" s="40"/>
    </row>
    <row r="46" spans="1:8" x14ac:dyDescent="0.35">
      <c r="A46" s="13"/>
      <c r="B46" s="39" t="s">
        <v>58</v>
      </c>
      <c r="C46" s="40"/>
      <c r="D46" s="40"/>
      <c r="E46" s="40"/>
    </row>
    <row r="47" spans="1:8" x14ac:dyDescent="0.35">
      <c r="A47" s="14"/>
      <c r="B47" s="39" t="s">
        <v>59</v>
      </c>
      <c r="C47" s="40"/>
      <c r="D47" s="40"/>
      <c r="E47" s="40"/>
    </row>
    <row r="48" spans="1:8" x14ac:dyDescent="0.35">
      <c r="A48" s="15"/>
      <c r="B48" s="39" t="s">
        <v>60</v>
      </c>
      <c r="C48" s="40"/>
      <c r="D48" s="40"/>
      <c r="E48" s="40"/>
    </row>
    <row r="49" spans="1:5" x14ac:dyDescent="0.35">
      <c r="A49" s="16"/>
      <c r="B49" s="39" t="s">
        <v>61</v>
      </c>
      <c r="C49" s="40"/>
      <c r="D49" s="40"/>
      <c r="E49" s="40"/>
    </row>
  </sheetData>
  <mergeCells count="19">
    <mergeCell ref="A1:P1"/>
    <mergeCell ref="H5:J5"/>
    <mergeCell ref="B48:E48"/>
    <mergeCell ref="B42:E42"/>
    <mergeCell ref="A29:H29"/>
    <mergeCell ref="E5:G5"/>
    <mergeCell ref="K5:M5"/>
    <mergeCell ref="A38:H38"/>
    <mergeCell ref="B44:E44"/>
    <mergeCell ref="A2:P2"/>
    <mergeCell ref="B49:E49"/>
    <mergeCell ref="N5:P5"/>
    <mergeCell ref="A4:P4"/>
    <mergeCell ref="B45:E45"/>
    <mergeCell ref="B41:E41"/>
    <mergeCell ref="B47:E47"/>
    <mergeCell ref="B46:E46"/>
    <mergeCell ref="B5:D5"/>
    <mergeCell ref="B43:E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9"/>
  <sheetViews>
    <sheetView workbookViewId="0"/>
  </sheetViews>
  <sheetFormatPr baseColWidth="10" defaultColWidth="8.7265625" defaultRowHeight="14.5" x14ac:dyDescent="0.35"/>
  <cols>
    <col min="1" max="1" width="8" customWidth="1"/>
    <col min="2" max="16" width="11" customWidth="1"/>
  </cols>
  <sheetData>
    <row r="1" spans="1:16" x14ac:dyDescent="0.35">
      <c r="A1" s="44" t="s">
        <v>126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35">
      <c r="A2" s="39" t="s">
        <v>127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16" x14ac:dyDescent="0.35">
      <c r="A4" s="43" t="s">
        <v>64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18" x14ac:dyDescent="0.35">
      <c r="A5" s="17" t="s">
        <v>65</v>
      </c>
      <c r="B5" s="42" t="s">
        <v>66</v>
      </c>
      <c r="C5" s="40"/>
      <c r="D5" s="40"/>
      <c r="E5" s="42" t="s">
        <v>67</v>
      </c>
      <c r="F5" s="40"/>
      <c r="G5" s="40"/>
      <c r="H5" s="42" t="s">
        <v>68</v>
      </c>
      <c r="I5" s="40"/>
      <c r="J5" s="40"/>
      <c r="K5" s="42" t="s">
        <v>69</v>
      </c>
      <c r="L5" s="40"/>
      <c r="M5" s="40"/>
      <c r="N5" s="42" t="s">
        <v>70</v>
      </c>
      <c r="O5" s="40"/>
      <c r="P5" s="40"/>
    </row>
    <row r="6" spans="1:16" x14ac:dyDescent="0.35">
      <c r="A6" s="18"/>
      <c r="B6" s="19" t="s">
        <v>71</v>
      </c>
      <c r="C6" s="19" t="s">
        <v>72</v>
      </c>
      <c r="D6" s="19" t="s">
        <v>73</v>
      </c>
      <c r="E6" s="19" t="s">
        <v>71</v>
      </c>
      <c r="F6" s="19" t="s">
        <v>72</v>
      </c>
      <c r="G6" s="19" t="s">
        <v>73</v>
      </c>
      <c r="H6" s="19" t="s">
        <v>71</v>
      </c>
      <c r="I6" s="19" t="s">
        <v>72</v>
      </c>
      <c r="J6" s="19" t="s">
        <v>73</v>
      </c>
      <c r="K6" s="19" t="s">
        <v>71</v>
      </c>
      <c r="L6" s="19" t="s">
        <v>72</v>
      </c>
      <c r="M6" s="19" t="s">
        <v>73</v>
      </c>
      <c r="N6" s="19" t="s">
        <v>71</v>
      </c>
      <c r="O6" s="19" t="s">
        <v>72</v>
      </c>
      <c r="P6" s="19" t="s">
        <v>73</v>
      </c>
    </row>
    <row r="7" spans="1:16" x14ac:dyDescent="0.35">
      <c r="A7" s="20" t="s">
        <v>74</v>
      </c>
      <c r="B7" s="21" t="s">
        <v>75</v>
      </c>
      <c r="C7" s="22" t="s">
        <v>76</v>
      </c>
      <c r="D7" s="23" t="s">
        <v>77</v>
      </c>
      <c r="E7" s="21" t="s">
        <v>75</v>
      </c>
      <c r="F7" s="22" t="s">
        <v>76</v>
      </c>
      <c r="G7" s="23" t="s">
        <v>77</v>
      </c>
      <c r="H7" s="21" t="s">
        <v>75</v>
      </c>
      <c r="I7" s="22" t="s">
        <v>76</v>
      </c>
      <c r="J7" s="23" t="s">
        <v>77</v>
      </c>
      <c r="K7" s="22" t="s">
        <v>76</v>
      </c>
      <c r="L7" s="21" t="s">
        <v>75</v>
      </c>
      <c r="M7" s="23" t="s">
        <v>78</v>
      </c>
      <c r="N7" s="22" t="s">
        <v>76</v>
      </c>
      <c r="O7" s="21" t="s">
        <v>75</v>
      </c>
      <c r="P7" s="23" t="s">
        <v>78</v>
      </c>
    </row>
    <row r="8" spans="1:16" x14ac:dyDescent="0.35">
      <c r="A8" s="20" t="s">
        <v>79</v>
      </c>
      <c r="B8" s="24" t="s">
        <v>53</v>
      </c>
      <c r="C8" s="25" t="s">
        <v>80</v>
      </c>
      <c r="D8" s="23" t="s">
        <v>81</v>
      </c>
      <c r="E8" s="24" t="s">
        <v>53</v>
      </c>
      <c r="F8" s="25" t="s">
        <v>80</v>
      </c>
      <c r="G8" s="23" t="s">
        <v>81</v>
      </c>
      <c r="H8" s="24" t="s">
        <v>53</v>
      </c>
      <c r="I8" s="25" t="s">
        <v>80</v>
      </c>
      <c r="J8" s="23" t="s">
        <v>81</v>
      </c>
      <c r="K8" s="25" t="s">
        <v>80</v>
      </c>
      <c r="L8" s="24" t="s">
        <v>53</v>
      </c>
      <c r="M8" s="23" t="s">
        <v>82</v>
      </c>
      <c r="N8" s="22" t="s">
        <v>76</v>
      </c>
      <c r="O8" s="24" t="s">
        <v>53</v>
      </c>
      <c r="P8" s="23" t="s">
        <v>78</v>
      </c>
    </row>
    <row r="9" spans="1:16" x14ac:dyDescent="0.35">
      <c r="A9" s="20" t="s">
        <v>83</v>
      </c>
      <c r="B9" s="24" t="s">
        <v>53</v>
      </c>
      <c r="C9" s="25" t="s">
        <v>80</v>
      </c>
      <c r="D9" s="23" t="s">
        <v>81</v>
      </c>
      <c r="E9" s="24" t="s">
        <v>53</v>
      </c>
      <c r="F9" s="25" t="s">
        <v>80</v>
      </c>
      <c r="G9" s="23" t="s">
        <v>81</v>
      </c>
      <c r="H9" s="24" t="s">
        <v>53</v>
      </c>
      <c r="I9" s="25" t="s">
        <v>80</v>
      </c>
      <c r="J9" s="23" t="s">
        <v>81</v>
      </c>
      <c r="K9" s="25" t="s">
        <v>80</v>
      </c>
      <c r="L9" s="24" t="s">
        <v>53</v>
      </c>
      <c r="M9" s="23" t="s">
        <v>82</v>
      </c>
      <c r="N9" s="22" t="s">
        <v>76</v>
      </c>
      <c r="O9" s="24" t="s">
        <v>53</v>
      </c>
      <c r="P9" s="23" t="s">
        <v>78</v>
      </c>
    </row>
    <row r="10" spans="1:16" x14ac:dyDescent="0.35">
      <c r="A10" s="20" t="s">
        <v>84</v>
      </c>
      <c r="B10" s="24" t="s">
        <v>53</v>
      </c>
      <c r="C10" s="25" t="s">
        <v>80</v>
      </c>
      <c r="D10" s="23" t="s">
        <v>81</v>
      </c>
      <c r="E10" s="24" t="s">
        <v>53</v>
      </c>
      <c r="F10" s="25" t="s">
        <v>80</v>
      </c>
      <c r="G10" s="23" t="s">
        <v>81</v>
      </c>
      <c r="H10" s="24" t="s">
        <v>53</v>
      </c>
      <c r="I10" s="25" t="s">
        <v>80</v>
      </c>
      <c r="J10" s="23" t="s">
        <v>81</v>
      </c>
      <c r="K10" s="25" t="s">
        <v>80</v>
      </c>
      <c r="L10" s="24" t="s">
        <v>53</v>
      </c>
      <c r="M10" s="23" t="s">
        <v>82</v>
      </c>
      <c r="N10" s="22" t="s">
        <v>76</v>
      </c>
      <c r="O10" s="24" t="s">
        <v>53</v>
      </c>
      <c r="P10" s="23" t="s">
        <v>78</v>
      </c>
    </row>
    <row r="11" spans="1:16" x14ac:dyDescent="0.35">
      <c r="A11" s="20" t="s">
        <v>85</v>
      </c>
      <c r="B11" s="24" t="s">
        <v>53</v>
      </c>
      <c r="C11" s="25" t="s">
        <v>80</v>
      </c>
      <c r="D11" s="23" t="s">
        <v>81</v>
      </c>
      <c r="E11" s="24" t="s">
        <v>53</v>
      </c>
      <c r="F11" s="25" t="s">
        <v>80</v>
      </c>
      <c r="G11" s="23" t="s">
        <v>81</v>
      </c>
      <c r="H11" s="24" t="s">
        <v>53</v>
      </c>
      <c r="I11" s="25" t="s">
        <v>80</v>
      </c>
      <c r="J11" s="23" t="s">
        <v>81</v>
      </c>
      <c r="K11" s="25" t="s">
        <v>80</v>
      </c>
      <c r="L11" s="24" t="s">
        <v>53</v>
      </c>
      <c r="M11" s="23" t="s">
        <v>82</v>
      </c>
      <c r="N11" s="22" t="s">
        <v>76</v>
      </c>
      <c r="O11" s="24" t="s">
        <v>53</v>
      </c>
      <c r="P11" s="23" t="s">
        <v>78</v>
      </c>
    </row>
    <row r="12" spans="1:16" x14ac:dyDescent="0.35">
      <c r="A12" s="20" t="s">
        <v>86</v>
      </c>
      <c r="B12" s="24" t="s">
        <v>53</v>
      </c>
      <c r="C12" s="25" t="s">
        <v>80</v>
      </c>
      <c r="D12" s="23" t="s">
        <v>81</v>
      </c>
      <c r="E12" s="24" t="s">
        <v>53</v>
      </c>
      <c r="F12" s="25" t="s">
        <v>80</v>
      </c>
      <c r="G12" s="23" t="s">
        <v>81</v>
      </c>
      <c r="H12" s="24" t="s">
        <v>53</v>
      </c>
      <c r="I12" s="25" t="s">
        <v>80</v>
      </c>
      <c r="J12" s="23" t="s">
        <v>81</v>
      </c>
      <c r="K12" s="25" t="s">
        <v>80</v>
      </c>
      <c r="L12" s="24" t="s">
        <v>53</v>
      </c>
      <c r="M12" s="23" t="s">
        <v>82</v>
      </c>
      <c r="N12" s="22" t="s">
        <v>76</v>
      </c>
      <c r="O12" s="24" t="s">
        <v>53</v>
      </c>
      <c r="P12" s="23" t="s">
        <v>78</v>
      </c>
    </row>
    <row r="13" spans="1:16" x14ac:dyDescent="0.35">
      <c r="A13" s="20" t="s">
        <v>87</v>
      </c>
      <c r="B13" s="24" t="s">
        <v>53</v>
      </c>
      <c r="C13" s="25" t="s">
        <v>80</v>
      </c>
      <c r="D13" s="23" t="s">
        <v>81</v>
      </c>
      <c r="E13" s="24" t="s">
        <v>53</v>
      </c>
      <c r="F13" s="25" t="s">
        <v>80</v>
      </c>
      <c r="G13" s="23" t="s">
        <v>81</v>
      </c>
      <c r="H13" s="24" t="s">
        <v>53</v>
      </c>
      <c r="I13" s="25" t="s">
        <v>80</v>
      </c>
      <c r="J13" s="23" t="s">
        <v>81</v>
      </c>
      <c r="K13" s="25" t="s">
        <v>80</v>
      </c>
      <c r="L13" s="24" t="s">
        <v>53</v>
      </c>
      <c r="M13" s="23" t="s">
        <v>82</v>
      </c>
      <c r="N13" s="22" t="s">
        <v>76</v>
      </c>
      <c r="O13" s="24" t="s">
        <v>53</v>
      </c>
      <c r="P13" s="23" t="s">
        <v>78</v>
      </c>
    </row>
    <row r="14" spans="1:16" x14ac:dyDescent="0.35">
      <c r="A14" s="20" t="s">
        <v>88</v>
      </c>
      <c r="B14" s="24" t="s">
        <v>53</v>
      </c>
      <c r="C14" s="25" t="s">
        <v>80</v>
      </c>
      <c r="D14" s="23" t="s">
        <v>81</v>
      </c>
      <c r="E14" s="24" t="s">
        <v>53</v>
      </c>
      <c r="F14" s="25" t="s">
        <v>80</v>
      </c>
      <c r="G14" s="23" t="s">
        <v>81</v>
      </c>
      <c r="H14" s="24" t="s">
        <v>53</v>
      </c>
      <c r="I14" s="25" t="s">
        <v>80</v>
      </c>
      <c r="J14" s="23" t="s">
        <v>81</v>
      </c>
      <c r="K14" s="25" t="s">
        <v>80</v>
      </c>
      <c r="L14" s="24" t="s">
        <v>53</v>
      </c>
      <c r="M14" s="23" t="s">
        <v>82</v>
      </c>
      <c r="N14" s="22" t="s">
        <v>76</v>
      </c>
      <c r="O14" s="24" t="s">
        <v>53</v>
      </c>
      <c r="P14" s="23" t="s">
        <v>78</v>
      </c>
    </row>
    <row r="15" spans="1:16" x14ac:dyDescent="0.35">
      <c r="A15" s="20" t="s">
        <v>89</v>
      </c>
      <c r="B15" s="24" t="s">
        <v>53</v>
      </c>
      <c r="C15" s="25" t="s">
        <v>80</v>
      </c>
      <c r="D15" s="23" t="s">
        <v>81</v>
      </c>
      <c r="E15" s="24" t="s">
        <v>53</v>
      </c>
      <c r="F15" s="25" t="s">
        <v>80</v>
      </c>
      <c r="G15" s="23" t="s">
        <v>81</v>
      </c>
      <c r="H15" s="24" t="s">
        <v>53</v>
      </c>
      <c r="I15" s="25" t="s">
        <v>80</v>
      </c>
      <c r="J15" s="23" t="s">
        <v>81</v>
      </c>
      <c r="K15" s="25" t="s">
        <v>80</v>
      </c>
      <c r="L15" s="24" t="s">
        <v>53</v>
      </c>
      <c r="M15" s="23" t="s">
        <v>82</v>
      </c>
      <c r="N15" s="22" t="s">
        <v>76</v>
      </c>
      <c r="O15" s="24" t="s">
        <v>53</v>
      </c>
      <c r="P15" s="23" t="s">
        <v>78</v>
      </c>
    </row>
    <row r="16" spans="1:16" x14ac:dyDescent="0.35">
      <c r="A16" s="20" t="s">
        <v>90</v>
      </c>
      <c r="B16" s="26" t="s">
        <v>91</v>
      </c>
      <c r="C16" s="27" t="s">
        <v>91</v>
      </c>
      <c r="D16" s="23" t="s">
        <v>92</v>
      </c>
      <c r="E16" s="26" t="s">
        <v>91</v>
      </c>
      <c r="F16" s="27" t="s">
        <v>91</v>
      </c>
      <c r="G16" s="23" t="s">
        <v>92</v>
      </c>
      <c r="H16" s="21" t="s">
        <v>93</v>
      </c>
      <c r="I16" s="27" t="s">
        <v>91</v>
      </c>
      <c r="J16" s="23" t="s">
        <v>92</v>
      </c>
      <c r="K16" s="27" t="s">
        <v>91</v>
      </c>
      <c r="L16" s="26" t="s">
        <v>91</v>
      </c>
      <c r="M16" s="23" t="s">
        <v>94</v>
      </c>
      <c r="N16" s="22" t="s">
        <v>76</v>
      </c>
      <c r="O16" s="26" t="s">
        <v>91</v>
      </c>
      <c r="P16" s="23" t="s">
        <v>78</v>
      </c>
    </row>
    <row r="17" spans="1:16" x14ac:dyDescent="0.35">
      <c r="A17" s="20" t="s">
        <v>95</v>
      </c>
      <c r="B17" s="24" t="s">
        <v>53</v>
      </c>
      <c r="C17" s="25" t="s">
        <v>80</v>
      </c>
      <c r="D17" s="23" t="s">
        <v>81</v>
      </c>
      <c r="E17" s="24" t="s">
        <v>53</v>
      </c>
      <c r="F17" s="25" t="s">
        <v>80</v>
      </c>
      <c r="G17" s="23" t="s">
        <v>81</v>
      </c>
      <c r="H17" s="27" t="s">
        <v>91</v>
      </c>
      <c r="I17" s="21" t="s">
        <v>75</v>
      </c>
      <c r="J17" s="23" t="s">
        <v>94</v>
      </c>
      <c r="K17" s="25" t="s">
        <v>80</v>
      </c>
      <c r="L17" s="24" t="s">
        <v>53</v>
      </c>
      <c r="M17" s="23" t="s">
        <v>82</v>
      </c>
      <c r="N17" s="22" t="s">
        <v>76</v>
      </c>
      <c r="O17" s="24" t="s">
        <v>53</v>
      </c>
      <c r="P17" s="23" t="s">
        <v>78</v>
      </c>
    </row>
    <row r="18" spans="1:16" x14ac:dyDescent="0.35">
      <c r="A18" s="20" t="s">
        <v>96</v>
      </c>
      <c r="B18" s="24" t="s">
        <v>53</v>
      </c>
      <c r="C18" s="25" t="s">
        <v>80</v>
      </c>
      <c r="D18" s="23" t="s">
        <v>81</v>
      </c>
      <c r="E18" s="24" t="s">
        <v>53</v>
      </c>
      <c r="F18" s="25" t="s">
        <v>80</v>
      </c>
      <c r="G18" s="23" t="s">
        <v>81</v>
      </c>
      <c r="H18" s="25" t="s">
        <v>80</v>
      </c>
      <c r="I18" s="24" t="s">
        <v>53</v>
      </c>
      <c r="J18" s="23" t="s">
        <v>82</v>
      </c>
      <c r="K18" s="25" t="s">
        <v>80</v>
      </c>
      <c r="L18" s="24" t="s">
        <v>53</v>
      </c>
      <c r="M18" s="23" t="s">
        <v>82</v>
      </c>
      <c r="N18" s="22" t="s">
        <v>76</v>
      </c>
      <c r="O18" s="24" t="s">
        <v>53</v>
      </c>
      <c r="P18" s="23" t="s">
        <v>78</v>
      </c>
    </row>
    <row r="19" spans="1:16" x14ac:dyDescent="0.35">
      <c r="A19" s="20" t="s">
        <v>97</v>
      </c>
      <c r="B19" s="24" t="s">
        <v>53</v>
      </c>
      <c r="C19" s="25" t="s">
        <v>80</v>
      </c>
      <c r="D19" s="23" t="s">
        <v>81</v>
      </c>
      <c r="E19" s="24" t="s">
        <v>53</v>
      </c>
      <c r="F19" s="25" t="s">
        <v>80</v>
      </c>
      <c r="G19" s="23" t="s">
        <v>81</v>
      </c>
      <c r="H19" s="25" t="s">
        <v>80</v>
      </c>
      <c r="I19" s="24" t="s">
        <v>53</v>
      </c>
      <c r="J19" s="23" t="s">
        <v>82</v>
      </c>
      <c r="K19" s="25" t="s">
        <v>80</v>
      </c>
      <c r="L19" s="24" t="s">
        <v>53</v>
      </c>
      <c r="M19" s="23" t="s">
        <v>82</v>
      </c>
      <c r="N19" s="22" t="s">
        <v>76</v>
      </c>
      <c r="O19" s="24" t="s">
        <v>53</v>
      </c>
      <c r="P19" s="23" t="s">
        <v>78</v>
      </c>
    </row>
    <row r="20" spans="1:16" x14ac:dyDescent="0.35">
      <c r="A20" s="20" t="s">
        <v>98</v>
      </c>
      <c r="B20" s="24" t="s">
        <v>53</v>
      </c>
      <c r="C20" s="25" t="s">
        <v>80</v>
      </c>
      <c r="D20" s="23" t="s">
        <v>81</v>
      </c>
      <c r="E20" s="24" t="s">
        <v>53</v>
      </c>
      <c r="F20" s="25" t="s">
        <v>80</v>
      </c>
      <c r="G20" s="23" t="s">
        <v>81</v>
      </c>
      <c r="H20" s="25" t="s">
        <v>80</v>
      </c>
      <c r="I20" s="24" t="s">
        <v>53</v>
      </c>
      <c r="J20" s="23" t="s">
        <v>82</v>
      </c>
      <c r="K20" s="25" t="s">
        <v>80</v>
      </c>
      <c r="L20" s="24" t="s">
        <v>53</v>
      </c>
      <c r="M20" s="23" t="s">
        <v>82</v>
      </c>
      <c r="N20" s="22" t="s">
        <v>76</v>
      </c>
      <c r="O20" s="24" t="s">
        <v>53</v>
      </c>
      <c r="P20" s="23" t="s">
        <v>78</v>
      </c>
    </row>
    <row r="21" spans="1:16" x14ac:dyDescent="0.35">
      <c r="A21" s="20" t="s">
        <v>99</v>
      </c>
      <c r="B21" s="24" t="s">
        <v>53</v>
      </c>
      <c r="C21" s="25" t="s">
        <v>80</v>
      </c>
      <c r="D21" s="23" t="s">
        <v>81</v>
      </c>
      <c r="E21" s="24" t="s">
        <v>53</v>
      </c>
      <c r="F21" s="25" t="s">
        <v>80</v>
      </c>
      <c r="G21" s="23" t="s">
        <v>81</v>
      </c>
      <c r="H21" s="25" t="s">
        <v>80</v>
      </c>
      <c r="I21" s="24" t="s">
        <v>53</v>
      </c>
      <c r="J21" s="23" t="s">
        <v>82</v>
      </c>
      <c r="K21" s="25" t="s">
        <v>80</v>
      </c>
      <c r="L21" s="24" t="s">
        <v>53</v>
      </c>
      <c r="M21" s="23" t="s">
        <v>82</v>
      </c>
      <c r="N21" s="22" t="s">
        <v>76</v>
      </c>
      <c r="O21" s="24" t="s">
        <v>53</v>
      </c>
      <c r="P21" s="23" t="s">
        <v>78</v>
      </c>
    </row>
    <row r="22" spans="1:16" x14ac:dyDescent="0.35">
      <c r="A22" s="20" t="s">
        <v>100</v>
      </c>
      <c r="B22" s="24" t="s">
        <v>53</v>
      </c>
      <c r="C22" s="25" t="s">
        <v>80</v>
      </c>
      <c r="D22" s="23" t="s">
        <v>81</v>
      </c>
      <c r="E22" s="24" t="s">
        <v>53</v>
      </c>
      <c r="F22" s="25" t="s">
        <v>80</v>
      </c>
      <c r="G22" s="23" t="s">
        <v>81</v>
      </c>
      <c r="H22" s="25" t="s">
        <v>80</v>
      </c>
      <c r="I22" s="24" t="s">
        <v>53</v>
      </c>
      <c r="J22" s="23" t="s">
        <v>82</v>
      </c>
      <c r="K22" s="25" t="s">
        <v>80</v>
      </c>
      <c r="L22" s="24" t="s">
        <v>53</v>
      </c>
      <c r="M22" s="23" t="s">
        <v>82</v>
      </c>
      <c r="N22" s="22" t="s">
        <v>76</v>
      </c>
      <c r="O22" s="24" t="s">
        <v>53</v>
      </c>
      <c r="P22" s="23" t="s">
        <v>78</v>
      </c>
    </row>
    <row r="23" spans="1:16" x14ac:dyDescent="0.35">
      <c r="A23" s="20" t="s">
        <v>101</v>
      </c>
      <c r="B23" s="21" t="s">
        <v>93</v>
      </c>
      <c r="C23" s="25" t="s">
        <v>80</v>
      </c>
      <c r="D23" s="23" t="s">
        <v>81</v>
      </c>
      <c r="E23" s="21" t="s">
        <v>93</v>
      </c>
      <c r="F23" s="25" t="s">
        <v>80</v>
      </c>
      <c r="G23" s="23" t="s">
        <v>81</v>
      </c>
      <c r="H23" s="25" t="s">
        <v>80</v>
      </c>
      <c r="I23" s="24" t="s">
        <v>53</v>
      </c>
      <c r="J23" s="23" t="s">
        <v>82</v>
      </c>
      <c r="K23" s="22" t="s">
        <v>76</v>
      </c>
      <c r="L23" s="24" t="s">
        <v>53</v>
      </c>
      <c r="M23" s="23" t="s">
        <v>78</v>
      </c>
      <c r="N23" s="22" t="s">
        <v>76</v>
      </c>
      <c r="O23" s="24" t="s">
        <v>53</v>
      </c>
      <c r="P23" s="23" t="s">
        <v>78</v>
      </c>
    </row>
    <row r="24" spans="1:16" x14ac:dyDescent="0.35">
      <c r="A24" s="20" t="s">
        <v>102</v>
      </c>
      <c r="B24" s="22" t="s">
        <v>76</v>
      </c>
      <c r="C24" s="25" t="s">
        <v>80</v>
      </c>
      <c r="D24" s="23" t="s">
        <v>128</v>
      </c>
      <c r="E24" s="22" t="s">
        <v>76</v>
      </c>
      <c r="F24" s="25" t="s">
        <v>80</v>
      </c>
      <c r="G24" s="23" t="s">
        <v>128</v>
      </c>
      <c r="H24" s="22" t="s">
        <v>76</v>
      </c>
      <c r="I24" s="24" t="s">
        <v>53</v>
      </c>
      <c r="J24" s="23" t="s">
        <v>78</v>
      </c>
      <c r="K24" s="22" t="s">
        <v>76</v>
      </c>
      <c r="L24" s="24" t="s">
        <v>53</v>
      </c>
      <c r="M24" s="23" t="s">
        <v>78</v>
      </c>
      <c r="N24" s="22" t="s">
        <v>76</v>
      </c>
      <c r="O24" s="24" t="s">
        <v>53</v>
      </c>
      <c r="P24" s="23" t="s">
        <v>78</v>
      </c>
    </row>
    <row r="25" spans="1:16" x14ac:dyDescent="0.35">
      <c r="A25" s="20" t="s">
        <v>103</v>
      </c>
      <c r="B25" s="22" t="s">
        <v>76</v>
      </c>
      <c r="C25" s="22" t="s">
        <v>76</v>
      </c>
      <c r="D25" s="23" t="s">
        <v>105</v>
      </c>
      <c r="E25" s="22" t="s">
        <v>76</v>
      </c>
      <c r="F25" s="22" t="s">
        <v>76</v>
      </c>
      <c r="G25" s="23" t="s">
        <v>105</v>
      </c>
      <c r="H25" s="22" t="s">
        <v>76</v>
      </c>
      <c r="I25" s="24" t="s">
        <v>53</v>
      </c>
      <c r="J25" s="23" t="s">
        <v>78</v>
      </c>
      <c r="K25" s="22" t="s">
        <v>76</v>
      </c>
      <c r="L25" s="21" t="s">
        <v>93</v>
      </c>
      <c r="M25" s="23" t="s">
        <v>78</v>
      </c>
      <c r="N25" s="22" t="s">
        <v>76</v>
      </c>
      <c r="O25" s="21" t="s">
        <v>93</v>
      </c>
      <c r="P25" s="23" t="s">
        <v>78</v>
      </c>
    </row>
    <row r="26" spans="1:16" x14ac:dyDescent="0.35">
      <c r="A26" s="20" t="s">
        <v>104</v>
      </c>
      <c r="B26" s="22" t="s">
        <v>76</v>
      </c>
      <c r="C26" s="22" t="s">
        <v>76</v>
      </c>
      <c r="D26" s="23" t="s">
        <v>105</v>
      </c>
      <c r="E26" s="22" t="s">
        <v>76</v>
      </c>
      <c r="F26" s="22" t="s">
        <v>76</v>
      </c>
      <c r="G26" s="23" t="s">
        <v>105</v>
      </c>
      <c r="H26" s="22" t="s">
        <v>76</v>
      </c>
      <c r="I26" s="22" t="s">
        <v>76</v>
      </c>
      <c r="J26" s="23" t="s">
        <v>105</v>
      </c>
      <c r="K26" s="22" t="s">
        <v>76</v>
      </c>
      <c r="L26" s="22" t="s">
        <v>76</v>
      </c>
      <c r="M26" s="23" t="s">
        <v>105</v>
      </c>
      <c r="N26" s="22" t="s">
        <v>76</v>
      </c>
      <c r="O26" s="22" t="s">
        <v>76</v>
      </c>
      <c r="P26" s="23" t="s">
        <v>105</v>
      </c>
    </row>
    <row r="27" spans="1:16" x14ac:dyDescent="0.35">
      <c r="A27" s="20" t="s">
        <v>106</v>
      </c>
      <c r="B27" s="22" t="s">
        <v>76</v>
      </c>
      <c r="C27" s="22" t="s">
        <v>76</v>
      </c>
      <c r="D27" s="23" t="s">
        <v>105</v>
      </c>
      <c r="E27" s="22" t="s">
        <v>76</v>
      </c>
      <c r="F27" s="22" t="s">
        <v>76</v>
      </c>
      <c r="G27" s="23" t="s">
        <v>105</v>
      </c>
      <c r="H27" s="22" t="s">
        <v>76</v>
      </c>
      <c r="I27" s="22" t="s">
        <v>76</v>
      </c>
      <c r="J27" s="23" t="s">
        <v>105</v>
      </c>
      <c r="K27" s="22" t="s">
        <v>76</v>
      </c>
      <c r="L27" s="22" t="s">
        <v>76</v>
      </c>
      <c r="M27" s="23" t="s">
        <v>105</v>
      </c>
      <c r="N27" s="22" t="s">
        <v>76</v>
      </c>
      <c r="O27" s="22" t="s">
        <v>76</v>
      </c>
      <c r="P27" s="23" t="s">
        <v>105</v>
      </c>
    </row>
    <row r="29" spans="1:16" x14ac:dyDescent="0.35">
      <c r="A29" s="45" t="s">
        <v>107</v>
      </c>
      <c r="B29" s="40"/>
      <c r="C29" s="40"/>
      <c r="D29" s="40"/>
      <c r="E29" s="40"/>
      <c r="F29" s="40"/>
      <c r="G29" s="40"/>
      <c r="H29" s="40"/>
    </row>
    <row r="30" spans="1:16" ht="26" x14ac:dyDescent="0.35">
      <c r="A30" s="28"/>
      <c r="B30" s="28" t="s">
        <v>108</v>
      </c>
      <c r="C30" s="28" t="s">
        <v>109</v>
      </c>
      <c r="D30" s="28" t="s">
        <v>110</v>
      </c>
      <c r="E30" s="28" t="s">
        <v>111</v>
      </c>
      <c r="F30" s="28" t="s">
        <v>112</v>
      </c>
      <c r="G30" s="28" t="s">
        <v>113</v>
      </c>
      <c r="H30" s="28" t="s">
        <v>114</v>
      </c>
    </row>
    <row r="31" spans="1:16" x14ac:dyDescent="0.35">
      <c r="A31" s="29" t="s">
        <v>71</v>
      </c>
      <c r="B31" s="30">
        <v>28</v>
      </c>
      <c r="C31" s="31">
        <v>96000</v>
      </c>
      <c r="D31" s="32">
        <f>B31/40</f>
        <v>0.7</v>
      </c>
      <c r="E31" s="31">
        <f>C31*D31/12</f>
        <v>5600</v>
      </c>
      <c r="F31" s="31">
        <f>C31*D31</f>
        <v>67200</v>
      </c>
      <c r="G31" s="31">
        <f>IF(E31&gt;=8000,E31*0.6,IF(E31&gt;=7000,E31*0.61,IF(E31&gt;=6000,E31*0.62,IF(E31&gt;=5000,E31*0.64,IF(E31&gt;=4000,E31*0.66,IF(E31&gt;=3000,E31*0.68,E31*0.7))))))</f>
        <v>3584</v>
      </c>
      <c r="H31" s="31">
        <f>G31*12</f>
        <v>43008</v>
      </c>
    </row>
    <row r="32" spans="1:16" ht="26" x14ac:dyDescent="0.35">
      <c r="A32" s="29" t="s">
        <v>115</v>
      </c>
      <c r="B32" s="30">
        <v>40</v>
      </c>
      <c r="C32" s="31">
        <v>84000</v>
      </c>
      <c r="D32" s="32">
        <f>B32/40</f>
        <v>1</v>
      </c>
      <c r="E32" s="31">
        <f>C32*D32/12</f>
        <v>7000</v>
      </c>
      <c r="F32" s="31">
        <f>C32*D32</f>
        <v>84000</v>
      </c>
      <c r="G32" s="31">
        <f>IF(E32&gt;=8000,E32*0.6,IF(E32&gt;=7000,E32*0.61,IF(E32&gt;=6000,E32*0.62,IF(E32&gt;=5000,E32*0.64,IF(E32&gt;=4000,E32*0.66,IF(E32&gt;=3000,E32*0.68,E32*0.7))))))</f>
        <v>4270</v>
      </c>
      <c r="H32" s="31">
        <f>G32*12</f>
        <v>51240</v>
      </c>
    </row>
    <row r="33" spans="1:8" ht="39" x14ac:dyDescent="0.35">
      <c r="A33" s="33" t="s">
        <v>116</v>
      </c>
      <c r="B33" s="34">
        <f>B31+B32</f>
        <v>68</v>
      </c>
      <c r="C33" s="33"/>
      <c r="D33" s="33"/>
      <c r="E33" s="35">
        <f>E31+E32</f>
        <v>12600</v>
      </c>
      <c r="F33" s="35">
        <f>F31+F32</f>
        <v>151200</v>
      </c>
      <c r="G33" s="35">
        <f>G31+G32</f>
        <v>7854</v>
      </c>
      <c r="H33" s="35">
        <f>H31+H32</f>
        <v>94248</v>
      </c>
    </row>
    <row r="35" spans="1:8" x14ac:dyDescent="0.35">
      <c r="A35" s="6" t="s">
        <v>117</v>
      </c>
      <c r="B35" s="36">
        <f>F33*0.7</f>
        <v>105840</v>
      </c>
    </row>
    <row r="36" spans="1:8" x14ac:dyDescent="0.35">
      <c r="A36" s="6" t="s">
        <v>118</v>
      </c>
      <c r="B36" s="37">
        <f>G33</f>
        <v>7854</v>
      </c>
    </row>
    <row r="38" spans="1:8" x14ac:dyDescent="0.35">
      <c r="A38" s="39" t="s">
        <v>119</v>
      </c>
      <c r="B38" s="40"/>
      <c r="C38" s="40"/>
      <c r="D38" s="40"/>
      <c r="E38" s="40"/>
      <c r="F38" s="40"/>
      <c r="G38" s="40"/>
      <c r="H38" s="40"/>
    </row>
    <row r="40" spans="1:8" x14ac:dyDescent="0.35">
      <c r="A40" s="6" t="s">
        <v>52</v>
      </c>
    </row>
    <row r="41" spans="1:8" x14ac:dyDescent="0.35">
      <c r="A41" s="7"/>
      <c r="B41" s="39" t="s">
        <v>53</v>
      </c>
      <c r="C41" s="40"/>
      <c r="D41" s="40"/>
      <c r="E41" s="40"/>
    </row>
    <row r="42" spans="1:8" x14ac:dyDescent="0.35">
      <c r="A42" s="9"/>
      <c r="B42" s="39" t="s">
        <v>54</v>
      </c>
      <c r="C42" s="40"/>
      <c r="D42" s="40"/>
      <c r="E42" s="40"/>
    </row>
    <row r="43" spans="1:8" x14ac:dyDescent="0.35">
      <c r="A43" s="10"/>
      <c r="B43" s="39" t="s">
        <v>55</v>
      </c>
      <c r="C43" s="40"/>
      <c r="D43" s="40"/>
      <c r="E43" s="40"/>
    </row>
    <row r="44" spans="1:8" x14ac:dyDescent="0.35">
      <c r="A44" s="11"/>
      <c r="B44" s="39" t="s">
        <v>56</v>
      </c>
      <c r="C44" s="40"/>
      <c r="D44" s="40"/>
      <c r="E44" s="40"/>
    </row>
    <row r="45" spans="1:8" x14ac:dyDescent="0.35">
      <c r="A45" s="12"/>
      <c r="B45" s="39" t="s">
        <v>57</v>
      </c>
      <c r="C45" s="40"/>
      <c r="D45" s="40"/>
      <c r="E45" s="40"/>
    </row>
    <row r="46" spans="1:8" x14ac:dyDescent="0.35">
      <c r="A46" s="13"/>
      <c r="B46" s="39" t="s">
        <v>58</v>
      </c>
      <c r="C46" s="40"/>
      <c r="D46" s="40"/>
      <c r="E46" s="40"/>
    </row>
    <row r="47" spans="1:8" x14ac:dyDescent="0.35">
      <c r="A47" s="14"/>
      <c r="B47" s="39" t="s">
        <v>59</v>
      </c>
      <c r="C47" s="40"/>
      <c r="D47" s="40"/>
      <c r="E47" s="40"/>
    </row>
    <row r="48" spans="1:8" x14ac:dyDescent="0.35">
      <c r="A48" s="15"/>
      <c r="B48" s="39" t="s">
        <v>60</v>
      </c>
      <c r="C48" s="40"/>
      <c r="D48" s="40"/>
      <c r="E48" s="40"/>
    </row>
    <row r="49" spans="1:5" x14ac:dyDescent="0.35">
      <c r="A49" s="16"/>
      <c r="B49" s="39" t="s">
        <v>61</v>
      </c>
      <c r="C49" s="40"/>
      <c r="D49" s="40"/>
      <c r="E49" s="40"/>
    </row>
  </sheetData>
  <mergeCells count="19">
    <mergeCell ref="A1:P1"/>
    <mergeCell ref="H5:J5"/>
    <mergeCell ref="B48:E48"/>
    <mergeCell ref="B42:E42"/>
    <mergeCell ref="A29:H29"/>
    <mergeCell ref="E5:G5"/>
    <mergeCell ref="K5:M5"/>
    <mergeCell ref="A38:H38"/>
    <mergeCell ref="B44:E44"/>
    <mergeCell ref="A2:P2"/>
    <mergeCell ref="B49:E49"/>
    <mergeCell ref="N5:P5"/>
    <mergeCell ref="A4:P4"/>
    <mergeCell ref="B45:E45"/>
    <mergeCell ref="B41:E41"/>
    <mergeCell ref="B47:E47"/>
    <mergeCell ref="B46:E46"/>
    <mergeCell ref="B5:D5"/>
    <mergeCell ref="B43:E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9"/>
  <sheetViews>
    <sheetView workbookViewId="0"/>
  </sheetViews>
  <sheetFormatPr baseColWidth="10" defaultColWidth="8.7265625" defaultRowHeight="14.5" x14ac:dyDescent="0.35"/>
  <cols>
    <col min="1" max="1" width="8" customWidth="1"/>
    <col min="2" max="16" width="11" customWidth="1"/>
  </cols>
  <sheetData>
    <row r="1" spans="1:16" x14ac:dyDescent="0.35">
      <c r="A1" s="44" t="s">
        <v>129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35">
      <c r="A2" s="39" t="s">
        <v>130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16" x14ac:dyDescent="0.35">
      <c r="A4" s="43" t="s">
        <v>64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18" x14ac:dyDescent="0.35">
      <c r="A5" s="17" t="s">
        <v>65</v>
      </c>
      <c r="B5" s="42" t="s">
        <v>66</v>
      </c>
      <c r="C5" s="40"/>
      <c r="D5" s="40"/>
      <c r="E5" s="42" t="s">
        <v>67</v>
      </c>
      <c r="F5" s="40"/>
      <c r="G5" s="40"/>
      <c r="H5" s="42" t="s">
        <v>68</v>
      </c>
      <c r="I5" s="40"/>
      <c r="J5" s="40"/>
      <c r="K5" s="42" t="s">
        <v>69</v>
      </c>
      <c r="L5" s="40"/>
      <c r="M5" s="40"/>
      <c r="N5" s="42" t="s">
        <v>70</v>
      </c>
      <c r="O5" s="40"/>
      <c r="P5" s="40"/>
    </row>
    <row r="6" spans="1:16" x14ac:dyDescent="0.35">
      <c r="A6" s="18"/>
      <c r="B6" s="19" t="s">
        <v>71</v>
      </c>
      <c r="C6" s="19" t="s">
        <v>72</v>
      </c>
      <c r="D6" s="19" t="s">
        <v>73</v>
      </c>
      <c r="E6" s="19" t="s">
        <v>71</v>
      </c>
      <c r="F6" s="19" t="s">
        <v>72</v>
      </c>
      <c r="G6" s="19" t="s">
        <v>73</v>
      </c>
      <c r="H6" s="19" t="s">
        <v>71</v>
      </c>
      <c r="I6" s="19" t="s">
        <v>72</v>
      </c>
      <c r="J6" s="19" t="s">
        <v>73</v>
      </c>
      <c r="K6" s="19" t="s">
        <v>71</v>
      </c>
      <c r="L6" s="19" t="s">
        <v>72</v>
      </c>
      <c r="M6" s="19" t="s">
        <v>73</v>
      </c>
      <c r="N6" s="19" t="s">
        <v>71</v>
      </c>
      <c r="O6" s="19" t="s">
        <v>72</v>
      </c>
      <c r="P6" s="19" t="s">
        <v>73</v>
      </c>
    </row>
    <row r="7" spans="1:16" x14ac:dyDescent="0.35">
      <c r="A7" s="20" t="s">
        <v>74</v>
      </c>
      <c r="B7" s="21" t="s">
        <v>75</v>
      </c>
      <c r="C7" s="22" t="s">
        <v>76</v>
      </c>
      <c r="D7" s="23" t="s">
        <v>77</v>
      </c>
      <c r="E7" s="21" t="s">
        <v>75</v>
      </c>
      <c r="F7" s="22" t="s">
        <v>76</v>
      </c>
      <c r="G7" s="23" t="s">
        <v>77</v>
      </c>
      <c r="H7" s="22" t="s">
        <v>76</v>
      </c>
      <c r="I7" s="22" t="s">
        <v>76</v>
      </c>
      <c r="J7" s="23" t="s">
        <v>105</v>
      </c>
      <c r="K7" s="22" t="s">
        <v>76</v>
      </c>
      <c r="L7" s="21" t="s">
        <v>75</v>
      </c>
      <c r="M7" s="23" t="s">
        <v>78</v>
      </c>
      <c r="N7" s="22" t="s">
        <v>76</v>
      </c>
      <c r="O7" s="21" t="s">
        <v>75</v>
      </c>
      <c r="P7" s="23" t="s">
        <v>78</v>
      </c>
    </row>
    <row r="8" spans="1:16" x14ac:dyDescent="0.35">
      <c r="A8" s="20" t="s">
        <v>79</v>
      </c>
      <c r="B8" s="24" t="s">
        <v>53</v>
      </c>
      <c r="C8" s="25" t="s">
        <v>80</v>
      </c>
      <c r="D8" s="23" t="s">
        <v>81</v>
      </c>
      <c r="E8" s="24" t="s">
        <v>53</v>
      </c>
      <c r="F8" s="25" t="s">
        <v>80</v>
      </c>
      <c r="G8" s="23" t="s">
        <v>81</v>
      </c>
      <c r="H8" s="25" t="s">
        <v>80</v>
      </c>
      <c r="I8" s="25" t="s">
        <v>80</v>
      </c>
      <c r="J8" s="23" t="s">
        <v>131</v>
      </c>
      <c r="K8" s="22" t="s">
        <v>76</v>
      </c>
      <c r="L8" s="24" t="s">
        <v>53</v>
      </c>
      <c r="M8" s="23" t="s">
        <v>78</v>
      </c>
      <c r="N8" s="22" t="s">
        <v>76</v>
      </c>
      <c r="O8" s="24" t="s">
        <v>53</v>
      </c>
      <c r="P8" s="23" t="s">
        <v>78</v>
      </c>
    </row>
    <row r="9" spans="1:16" x14ac:dyDescent="0.35">
      <c r="A9" s="20" t="s">
        <v>83</v>
      </c>
      <c r="B9" s="24" t="s">
        <v>53</v>
      </c>
      <c r="C9" s="25" t="s">
        <v>80</v>
      </c>
      <c r="D9" s="23" t="s">
        <v>81</v>
      </c>
      <c r="E9" s="24" t="s">
        <v>53</v>
      </c>
      <c r="F9" s="25" t="s">
        <v>80</v>
      </c>
      <c r="G9" s="23" t="s">
        <v>81</v>
      </c>
      <c r="H9" s="25" t="s">
        <v>80</v>
      </c>
      <c r="I9" s="25" t="s">
        <v>80</v>
      </c>
      <c r="J9" s="23" t="s">
        <v>131</v>
      </c>
      <c r="K9" s="22" t="s">
        <v>76</v>
      </c>
      <c r="L9" s="24" t="s">
        <v>53</v>
      </c>
      <c r="M9" s="23" t="s">
        <v>78</v>
      </c>
      <c r="N9" s="22" t="s">
        <v>76</v>
      </c>
      <c r="O9" s="24" t="s">
        <v>53</v>
      </c>
      <c r="P9" s="23" t="s">
        <v>78</v>
      </c>
    </row>
    <row r="10" spans="1:16" x14ac:dyDescent="0.35">
      <c r="A10" s="20" t="s">
        <v>84</v>
      </c>
      <c r="B10" s="24" t="s">
        <v>53</v>
      </c>
      <c r="C10" s="25" t="s">
        <v>80</v>
      </c>
      <c r="D10" s="23" t="s">
        <v>81</v>
      </c>
      <c r="E10" s="24" t="s">
        <v>53</v>
      </c>
      <c r="F10" s="25" t="s">
        <v>80</v>
      </c>
      <c r="G10" s="23" t="s">
        <v>81</v>
      </c>
      <c r="H10" s="25" t="s">
        <v>80</v>
      </c>
      <c r="I10" s="25" t="s">
        <v>80</v>
      </c>
      <c r="J10" s="23" t="s">
        <v>131</v>
      </c>
      <c r="K10" s="22" t="s">
        <v>76</v>
      </c>
      <c r="L10" s="24" t="s">
        <v>53</v>
      </c>
      <c r="M10" s="23" t="s">
        <v>78</v>
      </c>
      <c r="N10" s="22" t="s">
        <v>76</v>
      </c>
      <c r="O10" s="24" t="s">
        <v>53</v>
      </c>
      <c r="P10" s="23" t="s">
        <v>78</v>
      </c>
    </row>
    <row r="11" spans="1:16" x14ac:dyDescent="0.35">
      <c r="A11" s="20" t="s">
        <v>85</v>
      </c>
      <c r="B11" s="24" t="s">
        <v>53</v>
      </c>
      <c r="C11" s="25" t="s">
        <v>80</v>
      </c>
      <c r="D11" s="23" t="s">
        <v>81</v>
      </c>
      <c r="E11" s="24" t="s">
        <v>53</v>
      </c>
      <c r="F11" s="25" t="s">
        <v>80</v>
      </c>
      <c r="G11" s="23" t="s">
        <v>81</v>
      </c>
      <c r="H11" s="25" t="s">
        <v>80</v>
      </c>
      <c r="I11" s="25" t="s">
        <v>80</v>
      </c>
      <c r="J11" s="23" t="s">
        <v>131</v>
      </c>
      <c r="K11" s="22" t="s">
        <v>76</v>
      </c>
      <c r="L11" s="24" t="s">
        <v>53</v>
      </c>
      <c r="M11" s="23" t="s">
        <v>78</v>
      </c>
      <c r="N11" s="22" t="s">
        <v>76</v>
      </c>
      <c r="O11" s="24" t="s">
        <v>53</v>
      </c>
      <c r="P11" s="23" t="s">
        <v>78</v>
      </c>
    </row>
    <row r="12" spans="1:16" x14ac:dyDescent="0.35">
      <c r="A12" s="20" t="s">
        <v>86</v>
      </c>
      <c r="B12" s="24" t="s">
        <v>53</v>
      </c>
      <c r="C12" s="25" t="s">
        <v>80</v>
      </c>
      <c r="D12" s="23" t="s">
        <v>81</v>
      </c>
      <c r="E12" s="24" t="s">
        <v>53</v>
      </c>
      <c r="F12" s="25" t="s">
        <v>80</v>
      </c>
      <c r="G12" s="23" t="s">
        <v>81</v>
      </c>
      <c r="H12" s="25" t="s">
        <v>80</v>
      </c>
      <c r="I12" s="25" t="s">
        <v>80</v>
      </c>
      <c r="J12" s="23" t="s">
        <v>131</v>
      </c>
      <c r="K12" s="22" t="s">
        <v>76</v>
      </c>
      <c r="L12" s="24" t="s">
        <v>53</v>
      </c>
      <c r="M12" s="23" t="s">
        <v>78</v>
      </c>
      <c r="N12" s="22" t="s">
        <v>76</v>
      </c>
      <c r="O12" s="24" t="s">
        <v>53</v>
      </c>
      <c r="P12" s="23" t="s">
        <v>78</v>
      </c>
    </row>
    <row r="13" spans="1:16" x14ac:dyDescent="0.35">
      <c r="A13" s="20" t="s">
        <v>87</v>
      </c>
      <c r="B13" s="24" t="s">
        <v>53</v>
      </c>
      <c r="C13" s="25" t="s">
        <v>80</v>
      </c>
      <c r="D13" s="23" t="s">
        <v>81</v>
      </c>
      <c r="E13" s="24" t="s">
        <v>53</v>
      </c>
      <c r="F13" s="25" t="s">
        <v>80</v>
      </c>
      <c r="G13" s="23" t="s">
        <v>81</v>
      </c>
      <c r="H13" s="25" t="s">
        <v>80</v>
      </c>
      <c r="I13" s="25" t="s">
        <v>80</v>
      </c>
      <c r="J13" s="23" t="s">
        <v>131</v>
      </c>
      <c r="K13" s="22" t="s">
        <v>76</v>
      </c>
      <c r="L13" s="24" t="s">
        <v>53</v>
      </c>
      <c r="M13" s="23" t="s">
        <v>78</v>
      </c>
      <c r="N13" s="22" t="s">
        <v>76</v>
      </c>
      <c r="O13" s="24" t="s">
        <v>53</v>
      </c>
      <c r="P13" s="23" t="s">
        <v>78</v>
      </c>
    </row>
    <row r="14" spans="1:16" x14ac:dyDescent="0.35">
      <c r="A14" s="20" t="s">
        <v>88</v>
      </c>
      <c r="B14" s="24" t="s">
        <v>53</v>
      </c>
      <c r="C14" s="25" t="s">
        <v>80</v>
      </c>
      <c r="D14" s="23" t="s">
        <v>81</v>
      </c>
      <c r="E14" s="24" t="s">
        <v>53</v>
      </c>
      <c r="F14" s="25" t="s">
        <v>80</v>
      </c>
      <c r="G14" s="23" t="s">
        <v>81</v>
      </c>
      <c r="H14" s="25" t="s">
        <v>80</v>
      </c>
      <c r="I14" s="25" t="s">
        <v>80</v>
      </c>
      <c r="J14" s="23" t="s">
        <v>131</v>
      </c>
      <c r="K14" s="22" t="s">
        <v>76</v>
      </c>
      <c r="L14" s="24" t="s">
        <v>53</v>
      </c>
      <c r="M14" s="23" t="s">
        <v>78</v>
      </c>
      <c r="N14" s="22" t="s">
        <v>76</v>
      </c>
      <c r="O14" s="24" t="s">
        <v>53</v>
      </c>
      <c r="P14" s="23" t="s">
        <v>78</v>
      </c>
    </row>
    <row r="15" spans="1:16" x14ac:dyDescent="0.35">
      <c r="A15" s="20" t="s">
        <v>89</v>
      </c>
      <c r="B15" s="24" t="s">
        <v>53</v>
      </c>
      <c r="C15" s="25" t="s">
        <v>80</v>
      </c>
      <c r="D15" s="23" t="s">
        <v>81</v>
      </c>
      <c r="E15" s="24" t="s">
        <v>53</v>
      </c>
      <c r="F15" s="25" t="s">
        <v>80</v>
      </c>
      <c r="G15" s="23" t="s">
        <v>81</v>
      </c>
      <c r="H15" s="25" t="s">
        <v>80</v>
      </c>
      <c r="I15" s="25" t="s">
        <v>80</v>
      </c>
      <c r="J15" s="23" t="s">
        <v>131</v>
      </c>
      <c r="K15" s="22" t="s">
        <v>76</v>
      </c>
      <c r="L15" s="24" t="s">
        <v>53</v>
      </c>
      <c r="M15" s="23" t="s">
        <v>78</v>
      </c>
      <c r="N15" s="22" t="s">
        <v>76</v>
      </c>
      <c r="O15" s="24" t="s">
        <v>53</v>
      </c>
      <c r="P15" s="23" t="s">
        <v>78</v>
      </c>
    </row>
    <row r="16" spans="1:16" ht="23" x14ac:dyDescent="0.35">
      <c r="A16" s="20" t="s">
        <v>90</v>
      </c>
      <c r="B16" s="26" t="s">
        <v>91</v>
      </c>
      <c r="C16" s="27" t="s">
        <v>91</v>
      </c>
      <c r="D16" s="23" t="s">
        <v>92</v>
      </c>
      <c r="E16" s="26" t="s">
        <v>91</v>
      </c>
      <c r="F16" s="27" t="s">
        <v>91</v>
      </c>
      <c r="G16" s="23" t="s">
        <v>92</v>
      </c>
      <c r="H16" s="27" t="s">
        <v>91</v>
      </c>
      <c r="I16" s="27" t="s">
        <v>91</v>
      </c>
      <c r="J16" s="23" t="s">
        <v>132</v>
      </c>
      <c r="K16" s="22" t="s">
        <v>76</v>
      </c>
      <c r="L16" s="26" t="s">
        <v>91</v>
      </c>
      <c r="M16" s="23" t="s">
        <v>78</v>
      </c>
      <c r="N16" s="22" t="s">
        <v>76</v>
      </c>
      <c r="O16" s="26" t="s">
        <v>91</v>
      </c>
      <c r="P16" s="23" t="s">
        <v>78</v>
      </c>
    </row>
    <row r="17" spans="1:16" x14ac:dyDescent="0.35">
      <c r="A17" s="20" t="s">
        <v>95</v>
      </c>
      <c r="B17" s="24" t="s">
        <v>53</v>
      </c>
      <c r="C17" s="25" t="s">
        <v>80</v>
      </c>
      <c r="D17" s="23" t="s">
        <v>81</v>
      </c>
      <c r="E17" s="24" t="s">
        <v>53</v>
      </c>
      <c r="F17" s="25" t="s">
        <v>80</v>
      </c>
      <c r="G17" s="23" t="s">
        <v>81</v>
      </c>
      <c r="H17" s="25" t="s">
        <v>80</v>
      </c>
      <c r="I17" s="21" t="s">
        <v>75</v>
      </c>
      <c r="J17" s="23" t="s">
        <v>82</v>
      </c>
      <c r="K17" s="22" t="s">
        <v>76</v>
      </c>
      <c r="L17" s="24" t="s">
        <v>53</v>
      </c>
      <c r="M17" s="23" t="s">
        <v>78</v>
      </c>
      <c r="N17" s="22" t="s">
        <v>76</v>
      </c>
      <c r="O17" s="24" t="s">
        <v>53</v>
      </c>
      <c r="P17" s="23" t="s">
        <v>78</v>
      </c>
    </row>
    <row r="18" spans="1:16" x14ac:dyDescent="0.35">
      <c r="A18" s="20" t="s">
        <v>96</v>
      </c>
      <c r="B18" s="24" t="s">
        <v>53</v>
      </c>
      <c r="C18" s="25" t="s">
        <v>80</v>
      </c>
      <c r="D18" s="23" t="s">
        <v>81</v>
      </c>
      <c r="E18" s="24" t="s">
        <v>53</v>
      </c>
      <c r="F18" s="25" t="s">
        <v>80</v>
      </c>
      <c r="G18" s="23" t="s">
        <v>81</v>
      </c>
      <c r="H18" s="25" t="s">
        <v>80</v>
      </c>
      <c r="I18" s="24" t="s">
        <v>53</v>
      </c>
      <c r="J18" s="23" t="s">
        <v>82</v>
      </c>
      <c r="K18" s="22" t="s">
        <v>76</v>
      </c>
      <c r="L18" s="24" t="s">
        <v>53</v>
      </c>
      <c r="M18" s="23" t="s">
        <v>78</v>
      </c>
      <c r="N18" s="22" t="s">
        <v>76</v>
      </c>
      <c r="O18" s="24" t="s">
        <v>53</v>
      </c>
      <c r="P18" s="23" t="s">
        <v>78</v>
      </c>
    </row>
    <row r="19" spans="1:16" x14ac:dyDescent="0.35">
      <c r="A19" s="20" t="s">
        <v>97</v>
      </c>
      <c r="B19" s="24" t="s">
        <v>53</v>
      </c>
      <c r="C19" s="25" t="s">
        <v>80</v>
      </c>
      <c r="D19" s="23" t="s">
        <v>81</v>
      </c>
      <c r="E19" s="24" t="s">
        <v>53</v>
      </c>
      <c r="F19" s="25" t="s">
        <v>80</v>
      </c>
      <c r="G19" s="23" t="s">
        <v>81</v>
      </c>
      <c r="H19" s="25" t="s">
        <v>80</v>
      </c>
      <c r="I19" s="24" t="s">
        <v>53</v>
      </c>
      <c r="J19" s="23" t="s">
        <v>82</v>
      </c>
      <c r="K19" s="22" t="s">
        <v>76</v>
      </c>
      <c r="L19" s="24" t="s">
        <v>53</v>
      </c>
      <c r="M19" s="23" t="s">
        <v>78</v>
      </c>
      <c r="N19" s="22" t="s">
        <v>76</v>
      </c>
      <c r="O19" s="24" t="s">
        <v>53</v>
      </c>
      <c r="P19" s="23" t="s">
        <v>78</v>
      </c>
    </row>
    <row r="20" spans="1:16" x14ac:dyDescent="0.35">
      <c r="A20" s="20" t="s">
        <v>98</v>
      </c>
      <c r="B20" s="24" t="s">
        <v>53</v>
      </c>
      <c r="C20" s="25" t="s">
        <v>80</v>
      </c>
      <c r="D20" s="23" t="s">
        <v>81</v>
      </c>
      <c r="E20" s="24" t="s">
        <v>53</v>
      </c>
      <c r="F20" s="25" t="s">
        <v>80</v>
      </c>
      <c r="G20" s="23" t="s">
        <v>81</v>
      </c>
      <c r="H20" s="25" t="s">
        <v>80</v>
      </c>
      <c r="I20" s="24" t="s">
        <v>53</v>
      </c>
      <c r="J20" s="23" t="s">
        <v>82</v>
      </c>
      <c r="K20" s="22" t="s">
        <v>76</v>
      </c>
      <c r="L20" s="24" t="s">
        <v>53</v>
      </c>
      <c r="M20" s="23" t="s">
        <v>78</v>
      </c>
      <c r="N20" s="22" t="s">
        <v>76</v>
      </c>
      <c r="O20" s="24" t="s">
        <v>53</v>
      </c>
      <c r="P20" s="23" t="s">
        <v>78</v>
      </c>
    </row>
    <row r="21" spans="1:16" x14ac:dyDescent="0.35">
      <c r="A21" s="20" t="s">
        <v>99</v>
      </c>
      <c r="B21" s="24" t="s">
        <v>53</v>
      </c>
      <c r="C21" s="25" t="s">
        <v>80</v>
      </c>
      <c r="D21" s="23" t="s">
        <v>81</v>
      </c>
      <c r="E21" s="24" t="s">
        <v>53</v>
      </c>
      <c r="F21" s="25" t="s">
        <v>80</v>
      </c>
      <c r="G21" s="23" t="s">
        <v>81</v>
      </c>
      <c r="H21" s="25" t="s">
        <v>80</v>
      </c>
      <c r="I21" s="24" t="s">
        <v>53</v>
      </c>
      <c r="J21" s="23" t="s">
        <v>82</v>
      </c>
      <c r="K21" s="22" t="s">
        <v>76</v>
      </c>
      <c r="L21" s="24" t="s">
        <v>53</v>
      </c>
      <c r="M21" s="23" t="s">
        <v>78</v>
      </c>
      <c r="N21" s="22" t="s">
        <v>76</v>
      </c>
      <c r="O21" s="24" t="s">
        <v>53</v>
      </c>
      <c r="P21" s="23" t="s">
        <v>78</v>
      </c>
    </row>
    <row r="22" spans="1:16" x14ac:dyDescent="0.35">
      <c r="A22" s="20" t="s">
        <v>100</v>
      </c>
      <c r="B22" s="24" t="s">
        <v>53</v>
      </c>
      <c r="C22" s="25" t="s">
        <v>80</v>
      </c>
      <c r="D22" s="23" t="s">
        <v>81</v>
      </c>
      <c r="E22" s="24" t="s">
        <v>53</v>
      </c>
      <c r="F22" s="25" t="s">
        <v>80</v>
      </c>
      <c r="G22" s="23" t="s">
        <v>81</v>
      </c>
      <c r="H22" s="25" t="s">
        <v>80</v>
      </c>
      <c r="I22" s="24" t="s">
        <v>53</v>
      </c>
      <c r="J22" s="23" t="s">
        <v>82</v>
      </c>
      <c r="K22" s="22" t="s">
        <v>76</v>
      </c>
      <c r="L22" s="24" t="s">
        <v>53</v>
      </c>
      <c r="M22" s="23" t="s">
        <v>78</v>
      </c>
      <c r="N22" s="22" t="s">
        <v>76</v>
      </c>
      <c r="O22" s="24" t="s">
        <v>53</v>
      </c>
      <c r="P22" s="23" t="s">
        <v>78</v>
      </c>
    </row>
    <row r="23" spans="1:16" x14ac:dyDescent="0.35">
      <c r="A23" s="20" t="s">
        <v>101</v>
      </c>
      <c r="B23" s="21" t="s">
        <v>93</v>
      </c>
      <c r="C23" s="25" t="s">
        <v>80</v>
      </c>
      <c r="D23" s="23" t="s">
        <v>81</v>
      </c>
      <c r="E23" s="21" t="s">
        <v>93</v>
      </c>
      <c r="F23" s="25" t="s">
        <v>80</v>
      </c>
      <c r="G23" s="23" t="s">
        <v>81</v>
      </c>
      <c r="H23" s="22" t="s">
        <v>76</v>
      </c>
      <c r="I23" s="24" t="s">
        <v>53</v>
      </c>
      <c r="J23" s="23" t="s">
        <v>78</v>
      </c>
      <c r="K23" s="22" t="s">
        <v>76</v>
      </c>
      <c r="L23" s="24" t="s">
        <v>53</v>
      </c>
      <c r="M23" s="23" t="s">
        <v>78</v>
      </c>
      <c r="N23" s="22" t="s">
        <v>76</v>
      </c>
      <c r="O23" s="24" t="s">
        <v>53</v>
      </c>
      <c r="P23" s="23" t="s">
        <v>78</v>
      </c>
    </row>
    <row r="24" spans="1:16" x14ac:dyDescent="0.35">
      <c r="A24" s="20" t="s">
        <v>102</v>
      </c>
      <c r="B24" s="22" t="s">
        <v>76</v>
      </c>
      <c r="C24" s="25" t="s">
        <v>80</v>
      </c>
      <c r="D24" s="23" t="s">
        <v>128</v>
      </c>
      <c r="E24" s="22" t="s">
        <v>76</v>
      </c>
      <c r="F24" s="25" t="s">
        <v>80</v>
      </c>
      <c r="G24" s="23" t="s">
        <v>128</v>
      </c>
      <c r="H24" s="22" t="s">
        <v>76</v>
      </c>
      <c r="I24" s="24" t="s">
        <v>53</v>
      </c>
      <c r="J24" s="23" t="s">
        <v>78</v>
      </c>
      <c r="K24" s="22" t="s">
        <v>76</v>
      </c>
      <c r="L24" s="24" t="s">
        <v>53</v>
      </c>
      <c r="M24" s="23" t="s">
        <v>78</v>
      </c>
      <c r="N24" s="22" t="s">
        <v>76</v>
      </c>
      <c r="O24" s="24" t="s">
        <v>53</v>
      </c>
      <c r="P24" s="23" t="s">
        <v>78</v>
      </c>
    </row>
    <row r="25" spans="1:16" x14ac:dyDescent="0.35">
      <c r="A25" s="20" t="s">
        <v>103</v>
      </c>
      <c r="B25" s="22" t="s">
        <v>76</v>
      </c>
      <c r="C25" s="22" t="s">
        <v>76</v>
      </c>
      <c r="D25" s="23" t="s">
        <v>105</v>
      </c>
      <c r="E25" s="22" t="s">
        <v>76</v>
      </c>
      <c r="F25" s="22" t="s">
        <v>76</v>
      </c>
      <c r="G25" s="23" t="s">
        <v>105</v>
      </c>
      <c r="H25" s="22" t="s">
        <v>76</v>
      </c>
      <c r="I25" s="24" t="s">
        <v>53</v>
      </c>
      <c r="J25" s="23" t="s">
        <v>78</v>
      </c>
      <c r="K25" s="22" t="s">
        <v>76</v>
      </c>
      <c r="L25" s="21" t="s">
        <v>93</v>
      </c>
      <c r="M25" s="23" t="s">
        <v>78</v>
      </c>
      <c r="N25" s="22" t="s">
        <v>76</v>
      </c>
      <c r="O25" s="21" t="s">
        <v>93</v>
      </c>
      <c r="P25" s="23" t="s">
        <v>78</v>
      </c>
    </row>
    <row r="26" spans="1:16" x14ac:dyDescent="0.35">
      <c r="A26" s="20" t="s">
        <v>104</v>
      </c>
      <c r="B26" s="22" t="s">
        <v>76</v>
      </c>
      <c r="C26" s="22" t="s">
        <v>76</v>
      </c>
      <c r="D26" s="23" t="s">
        <v>105</v>
      </c>
      <c r="E26" s="22" t="s">
        <v>76</v>
      </c>
      <c r="F26" s="22" t="s">
        <v>76</v>
      </c>
      <c r="G26" s="23" t="s">
        <v>105</v>
      </c>
      <c r="H26" s="22" t="s">
        <v>76</v>
      </c>
      <c r="I26" s="22" t="s">
        <v>76</v>
      </c>
      <c r="J26" s="23" t="s">
        <v>105</v>
      </c>
      <c r="K26" s="22" t="s">
        <v>76</v>
      </c>
      <c r="L26" s="22" t="s">
        <v>76</v>
      </c>
      <c r="M26" s="23" t="s">
        <v>105</v>
      </c>
      <c r="N26" s="22" t="s">
        <v>76</v>
      </c>
      <c r="O26" s="22" t="s">
        <v>76</v>
      </c>
      <c r="P26" s="23" t="s">
        <v>105</v>
      </c>
    </row>
    <row r="27" spans="1:16" x14ac:dyDescent="0.35">
      <c r="A27" s="20" t="s">
        <v>106</v>
      </c>
      <c r="B27" s="22" t="s">
        <v>76</v>
      </c>
      <c r="C27" s="22" t="s">
        <v>76</v>
      </c>
      <c r="D27" s="23" t="s">
        <v>105</v>
      </c>
      <c r="E27" s="22" t="s">
        <v>76</v>
      </c>
      <c r="F27" s="22" t="s">
        <v>76</v>
      </c>
      <c r="G27" s="23" t="s">
        <v>105</v>
      </c>
      <c r="H27" s="22" t="s">
        <v>76</v>
      </c>
      <c r="I27" s="22" t="s">
        <v>76</v>
      </c>
      <c r="J27" s="23" t="s">
        <v>105</v>
      </c>
      <c r="K27" s="22" t="s">
        <v>76</v>
      </c>
      <c r="L27" s="22" t="s">
        <v>76</v>
      </c>
      <c r="M27" s="23" t="s">
        <v>105</v>
      </c>
      <c r="N27" s="22" t="s">
        <v>76</v>
      </c>
      <c r="O27" s="22" t="s">
        <v>76</v>
      </c>
      <c r="P27" s="23" t="s">
        <v>105</v>
      </c>
    </row>
    <row r="29" spans="1:16" x14ac:dyDescent="0.35">
      <c r="A29" s="45" t="s">
        <v>107</v>
      </c>
      <c r="B29" s="40"/>
      <c r="C29" s="40"/>
      <c r="D29" s="40"/>
      <c r="E29" s="40"/>
      <c r="F29" s="40"/>
      <c r="G29" s="40"/>
      <c r="H29" s="40"/>
    </row>
    <row r="30" spans="1:16" ht="26" x14ac:dyDescent="0.35">
      <c r="A30" s="28"/>
      <c r="B30" s="28" t="s">
        <v>108</v>
      </c>
      <c r="C30" s="28" t="s">
        <v>109</v>
      </c>
      <c r="D30" s="28" t="s">
        <v>110</v>
      </c>
      <c r="E30" s="28" t="s">
        <v>111</v>
      </c>
      <c r="F30" s="28" t="s">
        <v>112</v>
      </c>
      <c r="G30" s="28" t="s">
        <v>113</v>
      </c>
      <c r="H30" s="28" t="s">
        <v>114</v>
      </c>
    </row>
    <row r="31" spans="1:16" x14ac:dyDescent="0.35">
      <c r="A31" s="29" t="s">
        <v>71</v>
      </c>
      <c r="B31" s="30">
        <v>21</v>
      </c>
      <c r="C31" s="31">
        <v>96000</v>
      </c>
      <c r="D31" s="32">
        <f>B31/40</f>
        <v>0.52500000000000002</v>
      </c>
      <c r="E31" s="31">
        <f>C31*D31/12</f>
        <v>4200</v>
      </c>
      <c r="F31" s="31">
        <f>C31*D31</f>
        <v>50400</v>
      </c>
      <c r="G31" s="31">
        <f>IF(E31&gt;=8000,E31*0.6,IF(E31&gt;=7000,E31*0.61,IF(E31&gt;=6000,E31*0.62,IF(E31&gt;=5000,E31*0.64,IF(E31&gt;=4000,E31*0.66,IF(E31&gt;=3000,E31*0.68,E31*0.7))))))</f>
        <v>2772</v>
      </c>
      <c r="H31" s="31">
        <f>G31*12</f>
        <v>33264</v>
      </c>
    </row>
    <row r="32" spans="1:16" ht="26" x14ac:dyDescent="0.35">
      <c r="A32" s="29" t="s">
        <v>115</v>
      </c>
      <c r="B32" s="30">
        <v>40</v>
      </c>
      <c r="C32" s="31">
        <v>84000</v>
      </c>
      <c r="D32" s="32">
        <f>B32/40</f>
        <v>1</v>
      </c>
      <c r="E32" s="31">
        <f>C32*D32/12</f>
        <v>7000</v>
      </c>
      <c r="F32" s="31">
        <f>C32*D32</f>
        <v>84000</v>
      </c>
      <c r="G32" s="31">
        <f>IF(E32&gt;=8000,E32*0.6,IF(E32&gt;=7000,E32*0.61,IF(E32&gt;=6000,E32*0.62,IF(E32&gt;=5000,E32*0.64,IF(E32&gt;=4000,E32*0.66,IF(E32&gt;=3000,E32*0.68,E32*0.7))))))</f>
        <v>4270</v>
      </c>
      <c r="H32" s="31">
        <f>G32*12</f>
        <v>51240</v>
      </c>
    </row>
    <row r="33" spans="1:8" ht="39" x14ac:dyDescent="0.35">
      <c r="A33" s="33" t="s">
        <v>116</v>
      </c>
      <c r="B33" s="34">
        <f>B31+B32</f>
        <v>61</v>
      </c>
      <c r="C33" s="33"/>
      <c r="D33" s="33"/>
      <c r="E33" s="35">
        <f>E31+E32</f>
        <v>11200</v>
      </c>
      <c r="F33" s="35">
        <f>F31+F32</f>
        <v>134400</v>
      </c>
      <c r="G33" s="35">
        <f>G31+G32</f>
        <v>7042</v>
      </c>
      <c r="H33" s="35">
        <f>H31+H32</f>
        <v>84504</v>
      </c>
    </row>
    <row r="35" spans="1:8" x14ac:dyDescent="0.35">
      <c r="A35" s="6" t="s">
        <v>117</v>
      </c>
      <c r="B35" s="36">
        <f>F33*0.7</f>
        <v>94080</v>
      </c>
    </row>
    <row r="36" spans="1:8" x14ac:dyDescent="0.35">
      <c r="A36" s="6" t="s">
        <v>118</v>
      </c>
      <c r="B36" s="37">
        <f>G33</f>
        <v>7042</v>
      </c>
    </row>
    <row r="38" spans="1:8" x14ac:dyDescent="0.35">
      <c r="A38" s="39" t="s">
        <v>119</v>
      </c>
      <c r="B38" s="40"/>
      <c r="C38" s="40"/>
      <c r="D38" s="40"/>
      <c r="E38" s="40"/>
      <c r="F38" s="40"/>
      <c r="G38" s="40"/>
      <c r="H38" s="40"/>
    </row>
    <row r="40" spans="1:8" x14ac:dyDescent="0.35">
      <c r="A40" s="6" t="s">
        <v>52</v>
      </c>
    </row>
    <row r="41" spans="1:8" x14ac:dyDescent="0.35">
      <c r="A41" s="7"/>
      <c r="B41" s="39" t="s">
        <v>53</v>
      </c>
      <c r="C41" s="40"/>
      <c r="D41" s="40"/>
      <c r="E41" s="40"/>
    </row>
    <row r="42" spans="1:8" x14ac:dyDescent="0.35">
      <c r="A42" s="9"/>
      <c r="B42" s="39" t="s">
        <v>54</v>
      </c>
      <c r="C42" s="40"/>
      <c r="D42" s="40"/>
      <c r="E42" s="40"/>
    </row>
    <row r="43" spans="1:8" x14ac:dyDescent="0.35">
      <c r="A43" s="10"/>
      <c r="B43" s="39" t="s">
        <v>55</v>
      </c>
      <c r="C43" s="40"/>
      <c r="D43" s="40"/>
      <c r="E43" s="40"/>
    </row>
    <row r="44" spans="1:8" x14ac:dyDescent="0.35">
      <c r="A44" s="11"/>
      <c r="B44" s="39" t="s">
        <v>56</v>
      </c>
      <c r="C44" s="40"/>
      <c r="D44" s="40"/>
      <c r="E44" s="40"/>
    </row>
    <row r="45" spans="1:8" x14ac:dyDescent="0.35">
      <c r="A45" s="12"/>
      <c r="B45" s="39" t="s">
        <v>57</v>
      </c>
      <c r="C45" s="40"/>
      <c r="D45" s="40"/>
      <c r="E45" s="40"/>
    </row>
    <row r="46" spans="1:8" x14ac:dyDescent="0.35">
      <c r="A46" s="13"/>
      <c r="B46" s="39" t="s">
        <v>58</v>
      </c>
      <c r="C46" s="40"/>
      <c r="D46" s="40"/>
      <c r="E46" s="40"/>
    </row>
    <row r="47" spans="1:8" x14ac:dyDescent="0.35">
      <c r="A47" s="14"/>
      <c r="B47" s="39" t="s">
        <v>59</v>
      </c>
      <c r="C47" s="40"/>
      <c r="D47" s="40"/>
      <c r="E47" s="40"/>
    </row>
    <row r="48" spans="1:8" x14ac:dyDescent="0.35">
      <c r="A48" s="15"/>
      <c r="B48" s="39" t="s">
        <v>60</v>
      </c>
      <c r="C48" s="40"/>
      <c r="D48" s="40"/>
      <c r="E48" s="40"/>
    </row>
    <row r="49" spans="1:5" x14ac:dyDescent="0.35">
      <c r="A49" s="16"/>
      <c r="B49" s="39" t="s">
        <v>61</v>
      </c>
      <c r="C49" s="40"/>
      <c r="D49" s="40"/>
      <c r="E49" s="40"/>
    </row>
  </sheetData>
  <mergeCells count="19">
    <mergeCell ref="A1:P1"/>
    <mergeCell ref="H5:J5"/>
    <mergeCell ref="B48:E48"/>
    <mergeCell ref="B42:E42"/>
    <mergeCell ref="A29:H29"/>
    <mergeCell ref="E5:G5"/>
    <mergeCell ref="K5:M5"/>
    <mergeCell ref="A38:H38"/>
    <mergeCell ref="B44:E44"/>
    <mergeCell ref="A2:P2"/>
    <mergeCell ref="B49:E49"/>
    <mergeCell ref="N5:P5"/>
    <mergeCell ref="A4:P4"/>
    <mergeCell ref="B45:E45"/>
    <mergeCell ref="B41:E41"/>
    <mergeCell ref="B47:E47"/>
    <mergeCell ref="B46:E46"/>
    <mergeCell ref="B5:D5"/>
    <mergeCell ref="B43:E4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2"/>
  <sheetViews>
    <sheetView workbookViewId="0"/>
  </sheetViews>
  <sheetFormatPr baseColWidth="10" defaultColWidth="8.7265625" defaultRowHeight="14.5" x14ac:dyDescent="0.35"/>
  <cols>
    <col min="1" max="1" width="8" customWidth="1"/>
    <col min="2" max="16" width="11" customWidth="1"/>
  </cols>
  <sheetData>
    <row r="1" spans="1:16" x14ac:dyDescent="0.35">
      <c r="A1" s="44" t="s">
        <v>133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35">
      <c r="A2" s="39" t="s">
        <v>134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16" x14ac:dyDescent="0.35">
      <c r="A4" s="43" t="s">
        <v>64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18" x14ac:dyDescent="0.35">
      <c r="A5" s="17" t="s">
        <v>65</v>
      </c>
      <c r="B5" s="42" t="s">
        <v>66</v>
      </c>
      <c r="C5" s="40"/>
      <c r="D5" s="40"/>
      <c r="E5" s="42" t="s">
        <v>67</v>
      </c>
      <c r="F5" s="40"/>
      <c r="G5" s="40"/>
      <c r="H5" s="42" t="s">
        <v>68</v>
      </c>
      <c r="I5" s="40"/>
      <c r="J5" s="40"/>
      <c r="K5" s="42" t="s">
        <v>69</v>
      </c>
      <c r="L5" s="40"/>
      <c r="M5" s="40"/>
      <c r="N5" s="42" t="s">
        <v>70</v>
      </c>
      <c r="O5" s="40"/>
      <c r="P5" s="40"/>
    </row>
    <row r="6" spans="1:16" x14ac:dyDescent="0.35">
      <c r="A6" s="18"/>
      <c r="B6" s="19" t="s">
        <v>71</v>
      </c>
      <c r="C6" s="19" t="s">
        <v>72</v>
      </c>
      <c r="D6" s="19" t="s">
        <v>73</v>
      </c>
      <c r="E6" s="19" t="s">
        <v>71</v>
      </c>
      <c r="F6" s="19" t="s">
        <v>72</v>
      </c>
      <c r="G6" s="19" t="s">
        <v>73</v>
      </c>
      <c r="H6" s="19" t="s">
        <v>71</v>
      </c>
      <c r="I6" s="19" t="s">
        <v>72</v>
      </c>
      <c r="J6" s="19" t="s">
        <v>73</v>
      </c>
      <c r="K6" s="19" t="s">
        <v>71</v>
      </c>
      <c r="L6" s="19" t="s">
        <v>72</v>
      </c>
      <c r="M6" s="19" t="s">
        <v>73</v>
      </c>
      <c r="N6" s="19" t="s">
        <v>71</v>
      </c>
      <c r="O6" s="19" t="s">
        <v>72</v>
      </c>
      <c r="P6" s="19" t="s">
        <v>73</v>
      </c>
    </row>
    <row r="7" spans="1:16" x14ac:dyDescent="0.35">
      <c r="A7" s="20" t="s">
        <v>74</v>
      </c>
      <c r="B7" s="21" t="s">
        <v>75</v>
      </c>
      <c r="C7" s="22" t="s">
        <v>76</v>
      </c>
      <c r="D7" s="23" t="s">
        <v>135</v>
      </c>
      <c r="E7" s="21" t="s">
        <v>75</v>
      </c>
      <c r="F7" s="22" t="s">
        <v>76</v>
      </c>
      <c r="G7" s="23" t="s">
        <v>135</v>
      </c>
      <c r="H7" s="21" t="s">
        <v>75</v>
      </c>
      <c r="I7" s="22" t="s">
        <v>76</v>
      </c>
      <c r="J7" s="23" t="s">
        <v>135</v>
      </c>
      <c r="K7" s="22" t="s">
        <v>76</v>
      </c>
      <c r="L7" s="21" t="s">
        <v>75</v>
      </c>
      <c r="M7" s="23" t="s">
        <v>135</v>
      </c>
      <c r="N7" s="22" t="s">
        <v>76</v>
      </c>
      <c r="O7" s="21" t="s">
        <v>75</v>
      </c>
      <c r="P7" s="23" t="s">
        <v>135</v>
      </c>
    </row>
    <row r="8" spans="1:16" x14ac:dyDescent="0.35">
      <c r="A8" s="20" t="s">
        <v>79</v>
      </c>
      <c r="B8" s="24" t="s">
        <v>53</v>
      </c>
      <c r="C8" s="25" t="s">
        <v>80</v>
      </c>
      <c r="D8" s="23" t="s">
        <v>135</v>
      </c>
      <c r="E8" s="24" t="s">
        <v>53</v>
      </c>
      <c r="F8" s="25" t="s">
        <v>80</v>
      </c>
      <c r="G8" s="23" t="s">
        <v>135</v>
      </c>
      <c r="H8" s="24" t="s">
        <v>53</v>
      </c>
      <c r="I8" s="25" t="s">
        <v>80</v>
      </c>
      <c r="J8" s="23" t="s">
        <v>135</v>
      </c>
      <c r="K8" s="25" t="s">
        <v>80</v>
      </c>
      <c r="L8" s="24" t="s">
        <v>53</v>
      </c>
      <c r="M8" s="23" t="s">
        <v>135</v>
      </c>
      <c r="N8" s="25" t="s">
        <v>80</v>
      </c>
      <c r="O8" s="24" t="s">
        <v>53</v>
      </c>
      <c r="P8" s="23" t="s">
        <v>135</v>
      </c>
    </row>
    <row r="9" spans="1:16" x14ac:dyDescent="0.35">
      <c r="A9" s="20" t="s">
        <v>83</v>
      </c>
      <c r="B9" s="24" t="s">
        <v>53</v>
      </c>
      <c r="C9" s="25" t="s">
        <v>80</v>
      </c>
      <c r="D9" s="23" t="s">
        <v>135</v>
      </c>
      <c r="E9" s="24" t="s">
        <v>53</v>
      </c>
      <c r="F9" s="25" t="s">
        <v>80</v>
      </c>
      <c r="G9" s="23" t="s">
        <v>135</v>
      </c>
      <c r="H9" s="24" t="s">
        <v>53</v>
      </c>
      <c r="I9" s="25" t="s">
        <v>80</v>
      </c>
      <c r="J9" s="23" t="s">
        <v>135</v>
      </c>
      <c r="K9" s="25" t="s">
        <v>80</v>
      </c>
      <c r="L9" s="24" t="s">
        <v>53</v>
      </c>
      <c r="M9" s="23" t="s">
        <v>135</v>
      </c>
      <c r="N9" s="25" t="s">
        <v>80</v>
      </c>
      <c r="O9" s="24" t="s">
        <v>53</v>
      </c>
      <c r="P9" s="23" t="s">
        <v>135</v>
      </c>
    </row>
    <row r="10" spans="1:16" x14ac:dyDescent="0.35">
      <c r="A10" s="20" t="s">
        <v>84</v>
      </c>
      <c r="B10" s="24" t="s">
        <v>53</v>
      </c>
      <c r="C10" s="25" t="s">
        <v>80</v>
      </c>
      <c r="D10" s="23" t="s">
        <v>135</v>
      </c>
      <c r="E10" s="24" t="s">
        <v>53</v>
      </c>
      <c r="F10" s="25" t="s">
        <v>80</v>
      </c>
      <c r="G10" s="23" t="s">
        <v>135</v>
      </c>
      <c r="H10" s="24" t="s">
        <v>53</v>
      </c>
      <c r="I10" s="25" t="s">
        <v>80</v>
      </c>
      <c r="J10" s="23" t="s">
        <v>135</v>
      </c>
      <c r="K10" s="25" t="s">
        <v>80</v>
      </c>
      <c r="L10" s="24" t="s">
        <v>53</v>
      </c>
      <c r="M10" s="23" t="s">
        <v>135</v>
      </c>
      <c r="N10" s="25" t="s">
        <v>80</v>
      </c>
      <c r="O10" s="24" t="s">
        <v>53</v>
      </c>
      <c r="P10" s="23" t="s">
        <v>135</v>
      </c>
    </row>
    <row r="11" spans="1:16" x14ac:dyDescent="0.35">
      <c r="A11" s="20" t="s">
        <v>85</v>
      </c>
      <c r="B11" s="24" t="s">
        <v>53</v>
      </c>
      <c r="C11" s="25" t="s">
        <v>80</v>
      </c>
      <c r="D11" s="23" t="s">
        <v>135</v>
      </c>
      <c r="E11" s="24" t="s">
        <v>53</v>
      </c>
      <c r="F11" s="25" t="s">
        <v>80</v>
      </c>
      <c r="G11" s="23" t="s">
        <v>135</v>
      </c>
      <c r="H11" s="24" t="s">
        <v>53</v>
      </c>
      <c r="I11" s="25" t="s">
        <v>80</v>
      </c>
      <c r="J11" s="23" t="s">
        <v>135</v>
      </c>
      <c r="K11" s="25" t="s">
        <v>80</v>
      </c>
      <c r="L11" s="24" t="s">
        <v>53</v>
      </c>
      <c r="M11" s="23" t="s">
        <v>135</v>
      </c>
      <c r="N11" s="25" t="s">
        <v>80</v>
      </c>
      <c r="O11" s="24" t="s">
        <v>53</v>
      </c>
      <c r="P11" s="23" t="s">
        <v>135</v>
      </c>
    </row>
    <row r="12" spans="1:16" x14ac:dyDescent="0.35">
      <c r="A12" s="20" t="s">
        <v>86</v>
      </c>
      <c r="B12" s="24" t="s">
        <v>53</v>
      </c>
      <c r="C12" s="25" t="s">
        <v>80</v>
      </c>
      <c r="D12" s="23" t="s">
        <v>135</v>
      </c>
      <c r="E12" s="24" t="s">
        <v>53</v>
      </c>
      <c r="F12" s="25" t="s">
        <v>80</v>
      </c>
      <c r="G12" s="23" t="s">
        <v>135</v>
      </c>
      <c r="H12" s="24" t="s">
        <v>53</v>
      </c>
      <c r="I12" s="25" t="s">
        <v>80</v>
      </c>
      <c r="J12" s="23" t="s">
        <v>135</v>
      </c>
      <c r="K12" s="25" t="s">
        <v>80</v>
      </c>
      <c r="L12" s="24" t="s">
        <v>53</v>
      </c>
      <c r="M12" s="23" t="s">
        <v>135</v>
      </c>
      <c r="N12" s="25" t="s">
        <v>80</v>
      </c>
      <c r="O12" s="24" t="s">
        <v>53</v>
      </c>
      <c r="P12" s="23" t="s">
        <v>135</v>
      </c>
    </row>
    <row r="13" spans="1:16" x14ac:dyDescent="0.35">
      <c r="A13" s="20" t="s">
        <v>87</v>
      </c>
      <c r="B13" s="24" t="s">
        <v>53</v>
      </c>
      <c r="C13" s="25" t="s">
        <v>80</v>
      </c>
      <c r="D13" s="23" t="s">
        <v>135</v>
      </c>
      <c r="E13" s="24" t="s">
        <v>53</v>
      </c>
      <c r="F13" s="25" t="s">
        <v>80</v>
      </c>
      <c r="G13" s="23" t="s">
        <v>135</v>
      </c>
      <c r="H13" s="24" t="s">
        <v>53</v>
      </c>
      <c r="I13" s="25" t="s">
        <v>80</v>
      </c>
      <c r="J13" s="23" t="s">
        <v>135</v>
      </c>
      <c r="K13" s="25" t="s">
        <v>80</v>
      </c>
      <c r="L13" s="24" t="s">
        <v>53</v>
      </c>
      <c r="M13" s="23" t="s">
        <v>135</v>
      </c>
      <c r="N13" s="25" t="s">
        <v>80</v>
      </c>
      <c r="O13" s="24" t="s">
        <v>53</v>
      </c>
      <c r="P13" s="23" t="s">
        <v>135</v>
      </c>
    </row>
    <row r="14" spans="1:16" x14ac:dyDescent="0.35">
      <c r="A14" s="20" t="s">
        <v>88</v>
      </c>
      <c r="B14" s="24" t="s">
        <v>53</v>
      </c>
      <c r="C14" s="25" t="s">
        <v>80</v>
      </c>
      <c r="D14" s="23" t="s">
        <v>135</v>
      </c>
      <c r="E14" s="24" t="s">
        <v>53</v>
      </c>
      <c r="F14" s="25" t="s">
        <v>80</v>
      </c>
      <c r="G14" s="23" t="s">
        <v>135</v>
      </c>
      <c r="H14" s="24" t="s">
        <v>53</v>
      </c>
      <c r="I14" s="25" t="s">
        <v>80</v>
      </c>
      <c r="J14" s="23" t="s">
        <v>135</v>
      </c>
      <c r="K14" s="25" t="s">
        <v>80</v>
      </c>
      <c r="L14" s="24" t="s">
        <v>53</v>
      </c>
      <c r="M14" s="23" t="s">
        <v>135</v>
      </c>
      <c r="N14" s="25" t="s">
        <v>80</v>
      </c>
      <c r="O14" s="24" t="s">
        <v>53</v>
      </c>
      <c r="P14" s="23" t="s">
        <v>135</v>
      </c>
    </row>
    <row r="15" spans="1:16" x14ac:dyDescent="0.35">
      <c r="A15" s="20" t="s">
        <v>89</v>
      </c>
      <c r="B15" s="24" t="s">
        <v>53</v>
      </c>
      <c r="C15" s="25" t="s">
        <v>80</v>
      </c>
      <c r="D15" s="23" t="s">
        <v>135</v>
      </c>
      <c r="E15" s="24" t="s">
        <v>53</v>
      </c>
      <c r="F15" s="25" t="s">
        <v>80</v>
      </c>
      <c r="G15" s="23" t="s">
        <v>135</v>
      </c>
      <c r="H15" s="24" t="s">
        <v>53</v>
      </c>
      <c r="I15" s="25" t="s">
        <v>80</v>
      </c>
      <c r="J15" s="23" t="s">
        <v>135</v>
      </c>
      <c r="K15" s="25" t="s">
        <v>80</v>
      </c>
      <c r="L15" s="24" t="s">
        <v>53</v>
      </c>
      <c r="M15" s="23" t="s">
        <v>135</v>
      </c>
      <c r="N15" s="25" t="s">
        <v>80</v>
      </c>
      <c r="O15" s="24" t="s">
        <v>53</v>
      </c>
      <c r="P15" s="23" t="s">
        <v>135</v>
      </c>
    </row>
    <row r="16" spans="1:16" x14ac:dyDescent="0.35">
      <c r="A16" s="20" t="s">
        <v>90</v>
      </c>
      <c r="B16" s="26" t="s">
        <v>91</v>
      </c>
      <c r="C16" s="27" t="s">
        <v>91</v>
      </c>
      <c r="D16" s="23" t="s">
        <v>135</v>
      </c>
      <c r="E16" s="26" t="s">
        <v>91</v>
      </c>
      <c r="F16" s="27" t="s">
        <v>91</v>
      </c>
      <c r="G16" s="23" t="s">
        <v>135</v>
      </c>
      <c r="H16" s="21" t="s">
        <v>93</v>
      </c>
      <c r="I16" s="27" t="s">
        <v>91</v>
      </c>
      <c r="J16" s="23" t="s">
        <v>135</v>
      </c>
      <c r="K16" s="27" t="s">
        <v>91</v>
      </c>
      <c r="L16" s="26" t="s">
        <v>91</v>
      </c>
      <c r="M16" s="23" t="s">
        <v>135</v>
      </c>
      <c r="N16" s="27" t="s">
        <v>91</v>
      </c>
      <c r="O16" s="26" t="s">
        <v>91</v>
      </c>
      <c r="P16" s="23" t="s">
        <v>135</v>
      </c>
    </row>
    <row r="17" spans="1:16" x14ac:dyDescent="0.35">
      <c r="A17" s="20" t="s">
        <v>95</v>
      </c>
      <c r="B17" s="24" t="s">
        <v>53</v>
      </c>
      <c r="C17" s="25" t="s">
        <v>80</v>
      </c>
      <c r="D17" s="23" t="s">
        <v>135</v>
      </c>
      <c r="E17" s="24" t="s">
        <v>53</v>
      </c>
      <c r="F17" s="25" t="s">
        <v>80</v>
      </c>
      <c r="G17" s="23" t="s">
        <v>135</v>
      </c>
      <c r="H17" s="27" t="s">
        <v>91</v>
      </c>
      <c r="I17" s="21" t="s">
        <v>75</v>
      </c>
      <c r="J17" s="23" t="s">
        <v>135</v>
      </c>
      <c r="K17" s="25" t="s">
        <v>80</v>
      </c>
      <c r="L17" s="24" t="s">
        <v>53</v>
      </c>
      <c r="M17" s="23" t="s">
        <v>135</v>
      </c>
      <c r="N17" s="25" t="s">
        <v>80</v>
      </c>
      <c r="O17" s="24" t="s">
        <v>53</v>
      </c>
      <c r="P17" s="23" t="s">
        <v>135</v>
      </c>
    </row>
    <row r="18" spans="1:16" x14ac:dyDescent="0.35">
      <c r="A18" s="20" t="s">
        <v>96</v>
      </c>
      <c r="B18" s="24" t="s">
        <v>53</v>
      </c>
      <c r="C18" s="25" t="s">
        <v>80</v>
      </c>
      <c r="D18" s="23" t="s">
        <v>81</v>
      </c>
      <c r="E18" s="24" t="s">
        <v>53</v>
      </c>
      <c r="F18" s="25" t="s">
        <v>80</v>
      </c>
      <c r="G18" s="23" t="s">
        <v>81</v>
      </c>
      <c r="H18" s="25" t="s">
        <v>80</v>
      </c>
      <c r="I18" s="24" t="s">
        <v>53</v>
      </c>
      <c r="J18" s="23" t="s">
        <v>82</v>
      </c>
      <c r="K18" s="25" t="s">
        <v>80</v>
      </c>
      <c r="L18" s="24" t="s">
        <v>53</v>
      </c>
      <c r="M18" s="23" t="s">
        <v>82</v>
      </c>
      <c r="N18" s="25" t="s">
        <v>80</v>
      </c>
      <c r="O18" s="24" t="s">
        <v>53</v>
      </c>
      <c r="P18" s="23" t="s">
        <v>82</v>
      </c>
    </row>
    <row r="19" spans="1:16" x14ac:dyDescent="0.35">
      <c r="A19" s="20" t="s">
        <v>97</v>
      </c>
      <c r="B19" s="24" t="s">
        <v>53</v>
      </c>
      <c r="C19" s="25" t="s">
        <v>80</v>
      </c>
      <c r="D19" s="23" t="s">
        <v>81</v>
      </c>
      <c r="E19" s="24" t="s">
        <v>53</v>
      </c>
      <c r="F19" s="25" t="s">
        <v>80</v>
      </c>
      <c r="G19" s="23" t="s">
        <v>81</v>
      </c>
      <c r="H19" s="25" t="s">
        <v>80</v>
      </c>
      <c r="I19" s="24" t="s">
        <v>53</v>
      </c>
      <c r="J19" s="23" t="s">
        <v>82</v>
      </c>
      <c r="K19" s="25" t="s">
        <v>80</v>
      </c>
      <c r="L19" s="24" t="s">
        <v>53</v>
      </c>
      <c r="M19" s="23" t="s">
        <v>82</v>
      </c>
      <c r="N19" s="25" t="s">
        <v>80</v>
      </c>
      <c r="O19" s="24" t="s">
        <v>53</v>
      </c>
      <c r="P19" s="23" t="s">
        <v>82</v>
      </c>
    </row>
    <row r="20" spans="1:16" x14ac:dyDescent="0.35">
      <c r="A20" s="20" t="s">
        <v>98</v>
      </c>
      <c r="B20" s="24" t="s">
        <v>53</v>
      </c>
      <c r="C20" s="25" t="s">
        <v>80</v>
      </c>
      <c r="D20" s="23" t="s">
        <v>81</v>
      </c>
      <c r="E20" s="24" t="s">
        <v>53</v>
      </c>
      <c r="F20" s="25" t="s">
        <v>80</v>
      </c>
      <c r="G20" s="23" t="s">
        <v>81</v>
      </c>
      <c r="H20" s="25" t="s">
        <v>80</v>
      </c>
      <c r="I20" s="24" t="s">
        <v>53</v>
      </c>
      <c r="J20" s="23" t="s">
        <v>82</v>
      </c>
      <c r="K20" s="25" t="s">
        <v>80</v>
      </c>
      <c r="L20" s="24" t="s">
        <v>53</v>
      </c>
      <c r="M20" s="23" t="s">
        <v>82</v>
      </c>
      <c r="N20" s="25" t="s">
        <v>80</v>
      </c>
      <c r="O20" s="24" t="s">
        <v>53</v>
      </c>
      <c r="P20" s="23" t="s">
        <v>82</v>
      </c>
    </row>
    <row r="21" spans="1:16" x14ac:dyDescent="0.35">
      <c r="A21" s="20" t="s">
        <v>99</v>
      </c>
      <c r="B21" s="24" t="s">
        <v>53</v>
      </c>
      <c r="C21" s="25" t="s">
        <v>80</v>
      </c>
      <c r="D21" s="23" t="s">
        <v>81</v>
      </c>
      <c r="E21" s="24" t="s">
        <v>53</v>
      </c>
      <c r="F21" s="25" t="s">
        <v>80</v>
      </c>
      <c r="G21" s="23" t="s">
        <v>81</v>
      </c>
      <c r="H21" s="25" t="s">
        <v>80</v>
      </c>
      <c r="I21" s="24" t="s">
        <v>53</v>
      </c>
      <c r="J21" s="23" t="s">
        <v>82</v>
      </c>
      <c r="K21" s="25" t="s">
        <v>80</v>
      </c>
      <c r="L21" s="24" t="s">
        <v>53</v>
      </c>
      <c r="M21" s="23" t="s">
        <v>82</v>
      </c>
      <c r="N21" s="25" t="s">
        <v>80</v>
      </c>
      <c r="O21" s="24" t="s">
        <v>53</v>
      </c>
      <c r="P21" s="23" t="s">
        <v>82</v>
      </c>
    </row>
    <row r="22" spans="1:16" x14ac:dyDescent="0.35">
      <c r="A22" s="20" t="s">
        <v>100</v>
      </c>
      <c r="B22" s="24" t="s">
        <v>53</v>
      </c>
      <c r="C22" s="25" t="s">
        <v>80</v>
      </c>
      <c r="D22" s="23" t="s">
        <v>81</v>
      </c>
      <c r="E22" s="24" t="s">
        <v>53</v>
      </c>
      <c r="F22" s="25" t="s">
        <v>80</v>
      </c>
      <c r="G22" s="23" t="s">
        <v>81</v>
      </c>
      <c r="H22" s="25" t="s">
        <v>80</v>
      </c>
      <c r="I22" s="24" t="s">
        <v>53</v>
      </c>
      <c r="J22" s="23" t="s">
        <v>82</v>
      </c>
      <c r="K22" s="25" t="s">
        <v>80</v>
      </c>
      <c r="L22" s="24" t="s">
        <v>53</v>
      </c>
      <c r="M22" s="23" t="s">
        <v>82</v>
      </c>
      <c r="N22" s="25" t="s">
        <v>80</v>
      </c>
      <c r="O22" s="24" t="s">
        <v>53</v>
      </c>
      <c r="P22" s="23" t="s">
        <v>82</v>
      </c>
    </row>
    <row r="23" spans="1:16" x14ac:dyDescent="0.35">
      <c r="A23" s="20" t="s">
        <v>101</v>
      </c>
      <c r="B23" s="24" t="s">
        <v>53</v>
      </c>
      <c r="C23" s="25" t="s">
        <v>80</v>
      </c>
      <c r="D23" s="23" t="s">
        <v>81</v>
      </c>
      <c r="E23" s="24" t="s">
        <v>53</v>
      </c>
      <c r="F23" s="25" t="s">
        <v>80</v>
      </c>
      <c r="G23" s="23" t="s">
        <v>81</v>
      </c>
      <c r="H23" s="25" t="s">
        <v>80</v>
      </c>
      <c r="I23" s="24" t="s">
        <v>53</v>
      </c>
      <c r="J23" s="23" t="s">
        <v>82</v>
      </c>
      <c r="K23" s="25" t="s">
        <v>80</v>
      </c>
      <c r="L23" s="24" t="s">
        <v>53</v>
      </c>
      <c r="M23" s="23" t="s">
        <v>82</v>
      </c>
      <c r="N23" s="25" t="s">
        <v>80</v>
      </c>
      <c r="O23" s="24" t="s">
        <v>53</v>
      </c>
      <c r="P23" s="23" t="s">
        <v>82</v>
      </c>
    </row>
    <row r="24" spans="1:16" x14ac:dyDescent="0.35">
      <c r="A24" s="20" t="s">
        <v>102</v>
      </c>
      <c r="B24" s="24" t="s">
        <v>53</v>
      </c>
      <c r="C24" s="25" t="s">
        <v>80</v>
      </c>
      <c r="D24" s="23" t="s">
        <v>81</v>
      </c>
      <c r="E24" s="24" t="s">
        <v>53</v>
      </c>
      <c r="F24" s="25" t="s">
        <v>80</v>
      </c>
      <c r="G24" s="23" t="s">
        <v>81</v>
      </c>
      <c r="H24" s="25" t="s">
        <v>80</v>
      </c>
      <c r="I24" s="24" t="s">
        <v>53</v>
      </c>
      <c r="J24" s="23" t="s">
        <v>82</v>
      </c>
      <c r="K24" s="25" t="s">
        <v>80</v>
      </c>
      <c r="L24" s="24" t="s">
        <v>53</v>
      </c>
      <c r="M24" s="23" t="s">
        <v>82</v>
      </c>
      <c r="N24" s="25" t="s">
        <v>80</v>
      </c>
      <c r="O24" s="24" t="s">
        <v>53</v>
      </c>
      <c r="P24" s="23" t="s">
        <v>82</v>
      </c>
    </row>
    <row r="25" spans="1:16" x14ac:dyDescent="0.35">
      <c r="A25" s="20" t="s">
        <v>103</v>
      </c>
      <c r="B25" s="21" t="s">
        <v>93</v>
      </c>
      <c r="C25" s="22" t="s">
        <v>76</v>
      </c>
      <c r="D25" s="23" t="s">
        <v>77</v>
      </c>
      <c r="E25" s="21" t="s">
        <v>93</v>
      </c>
      <c r="F25" s="22" t="s">
        <v>76</v>
      </c>
      <c r="G25" s="23" t="s">
        <v>77</v>
      </c>
      <c r="H25" s="25" t="s">
        <v>80</v>
      </c>
      <c r="I25" s="24" t="s">
        <v>53</v>
      </c>
      <c r="J25" s="23" t="s">
        <v>82</v>
      </c>
      <c r="K25" s="22" t="s">
        <v>76</v>
      </c>
      <c r="L25" s="21" t="s">
        <v>93</v>
      </c>
      <c r="M25" s="23" t="s">
        <v>78</v>
      </c>
      <c r="N25" s="22" t="s">
        <v>76</v>
      </c>
      <c r="O25" s="21" t="s">
        <v>93</v>
      </c>
      <c r="P25" s="23" t="s">
        <v>78</v>
      </c>
    </row>
    <row r="26" spans="1:16" x14ac:dyDescent="0.35">
      <c r="A26" s="20" t="s">
        <v>104</v>
      </c>
      <c r="B26" s="22" t="s">
        <v>76</v>
      </c>
      <c r="C26" s="22" t="s">
        <v>76</v>
      </c>
      <c r="D26" s="23" t="s">
        <v>105</v>
      </c>
      <c r="E26" s="22" t="s">
        <v>76</v>
      </c>
      <c r="F26" s="22" t="s">
        <v>76</v>
      </c>
      <c r="G26" s="23" t="s">
        <v>105</v>
      </c>
      <c r="H26" s="22" t="s">
        <v>76</v>
      </c>
      <c r="I26" s="22" t="s">
        <v>76</v>
      </c>
      <c r="J26" s="23" t="s">
        <v>105</v>
      </c>
      <c r="K26" s="22" t="s">
        <v>76</v>
      </c>
      <c r="L26" s="22" t="s">
        <v>76</v>
      </c>
      <c r="M26" s="23" t="s">
        <v>105</v>
      </c>
      <c r="N26" s="22" t="s">
        <v>76</v>
      </c>
      <c r="O26" s="22" t="s">
        <v>76</v>
      </c>
      <c r="P26" s="23" t="s">
        <v>105</v>
      </c>
    </row>
    <row r="27" spans="1:16" x14ac:dyDescent="0.35">
      <c r="A27" s="20" t="s">
        <v>106</v>
      </c>
      <c r="B27" s="22" t="s">
        <v>76</v>
      </c>
      <c r="C27" s="22" t="s">
        <v>76</v>
      </c>
      <c r="D27" s="23" t="s">
        <v>105</v>
      </c>
      <c r="E27" s="22" t="s">
        <v>76</v>
      </c>
      <c r="F27" s="22" t="s">
        <v>76</v>
      </c>
      <c r="G27" s="23" t="s">
        <v>105</v>
      </c>
      <c r="H27" s="22" t="s">
        <v>76</v>
      </c>
      <c r="I27" s="22" t="s">
        <v>76</v>
      </c>
      <c r="J27" s="23" t="s">
        <v>105</v>
      </c>
      <c r="K27" s="22" t="s">
        <v>76</v>
      </c>
      <c r="L27" s="22" t="s">
        <v>76</v>
      </c>
      <c r="M27" s="23" t="s">
        <v>105</v>
      </c>
      <c r="N27" s="22" t="s">
        <v>76</v>
      </c>
      <c r="O27" s="22" t="s">
        <v>76</v>
      </c>
      <c r="P27" s="23" t="s">
        <v>105</v>
      </c>
    </row>
    <row r="29" spans="1:16" x14ac:dyDescent="0.35">
      <c r="A29" s="45" t="s">
        <v>107</v>
      </c>
      <c r="B29" s="40"/>
      <c r="C29" s="40"/>
      <c r="D29" s="40"/>
      <c r="E29" s="40"/>
      <c r="F29" s="40"/>
      <c r="G29" s="40"/>
      <c r="H29" s="40"/>
    </row>
    <row r="30" spans="1:16" ht="26" x14ac:dyDescent="0.35">
      <c r="A30" s="28"/>
      <c r="B30" s="28" t="s">
        <v>108</v>
      </c>
      <c r="C30" s="28" t="s">
        <v>109</v>
      </c>
      <c r="D30" s="28" t="s">
        <v>110</v>
      </c>
      <c r="E30" s="28" t="s">
        <v>111</v>
      </c>
      <c r="F30" s="28" t="s">
        <v>112</v>
      </c>
      <c r="G30" s="28" t="s">
        <v>113</v>
      </c>
      <c r="H30" s="28" t="s">
        <v>114</v>
      </c>
    </row>
    <row r="31" spans="1:16" x14ac:dyDescent="0.35">
      <c r="A31" s="29" t="s">
        <v>71</v>
      </c>
      <c r="B31" s="30">
        <v>40</v>
      </c>
      <c r="C31" s="31">
        <v>96000</v>
      </c>
      <c r="D31" s="32">
        <f>B31/40</f>
        <v>1</v>
      </c>
      <c r="E31" s="31">
        <f>C31*D31/12</f>
        <v>8000</v>
      </c>
      <c r="F31" s="31">
        <f>C31*D31</f>
        <v>96000</v>
      </c>
      <c r="G31" s="31">
        <f>IF(E31&gt;=8000,E31*0.6,IF(E31&gt;=7000,E31*0.61,IF(E31&gt;=6000,E31*0.62,IF(E31&gt;=5000,E31*0.64,IF(E31&gt;=4000,E31*0.66,IF(E31&gt;=3000,E31*0.68,E31*0.7))))))</f>
        <v>4800</v>
      </c>
      <c r="H31" s="31">
        <f>G31*12</f>
        <v>57600</v>
      </c>
    </row>
    <row r="32" spans="1:16" ht="26" x14ac:dyDescent="0.35">
      <c r="A32" s="29" t="s">
        <v>115</v>
      </c>
      <c r="B32" s="30">
        <v>40</v>
      </c>
      <c r="C32" s="31">
        <v>84000</v>
      </c>
      <c r="D32" s="32">
        <f>B32/40</f>
        <v>1</v>
      </c>
      <c r="E32" s="31">
        <f>C32*D32/12</f>
        <v>7000</v>
      </c>
      <c r="F32" s="31">
        <f>C32*D32</f>
        <v>84000</v>
      </c>
      <c r="G32" s="31">
        <f>IF(E32&gt;=8000,E32*0.6,IF(E32&gt;=7000,E32*0.61,IF(E32&gt;=6000,E32*0.62,IF(E32&gt;=5000,E32*0.64,IF(E32&gt;=4000,E32*0.66,IF(E32&gt;=3000,E32*0.68,E32*0.7))))))</f>
        <v>4270</v>
      </c>
      <c r="H32" s="31">
        <f>G32*12</f>
        <v>51240</v>
      </c>
    </row>
    <row r="33" spans="1:8" ht="39" x14ac:dyDescent="0.35">
      <c r="A33" s="33" t="s">
        <v>116</v>
      </c>
      <c r="B33" s="34">
        <f>B31+B32</f>
        <v>80</v>
      </c>
      <c r="C33" s="33"/>
      <c r="D33" s="33"/>
      <c r="E33" s="35">
        <f>E31+E32</f>
        <v>15000</v>
      </c>
      <c r="F33" s="35">
        <f>F31+F32</f>
        <v>180000</v>
      </c>
      <c r="G33" s="35">
        <f>G31+G32</f>
        <v>9070</v>
      </c>
      <c r="H33" s="35">
        <f>H31+H32</f>
        <v>108840</v>
      </c>
    </row>
    <row r="35" spans="1:8" x14ac:dyDescent="0.35">
      <c r="A35" s="6" t="s">
        <v>117</v>
      </c>
      <c r="B35" s="36">
        <f>F33*0.7</f>
        <v>125999.99999999999</v>
      </c>
    </row>
    <row r="36" spans="1:8" x14ac:dyDescent="0.35">
      <c r="A36" s="6" t="s">
        <v>136</v>
      </c>
      <c r="B36" s="38">
        <v>465</v>
      </c>
    </row>
    <row r="37" spans="1:8" x14ac:dyDescent="0.35">
      <c r="A37" s="6" t="s">
        <v>137</v>
      </c>
      <c r="B37" s="37">
        <f>G33-B36</f>
        <v>8605</v>
      </c>
    </row>
    <row r="39" spans="1:8" x14ac:dyDescent="0.35">
      <c r="A39" s="39" t="s">
        <v>119</v>
      </c>
      <c r="B39" s="40"/>
      <c r="C39" s="40"/>
      <c r="D39" s="40"/>
      <c r="E39" s="40"/>
      <c r="F39" s="40"/>
      <c r="G39" s="40"/>
      <c r="H39" s="40"/>
    </row>
    <row r="40" spans="1:8" x14ac:dyDescent="0.35">
      <c r="A40" s="8" t="s">
        <v>138</v>
      </c>
    </row>
    <row r="43" spans="1:8" x14ac:dyDescent="0.35">
      <c r="A43" s="6" t="s">
        <v>52</v>
      </c>
    </row>
    <row r="44" spans="1:8" x14ac:dyDescent="0.35">
      <c r="A44" s="7"/>
      <c r="B44" s="39" t="s">
        <v>53</v>
      </c>
      <c r="C44" s="40"/>
      <c r="D44" s="40"/>
      <c r="E44" s="40"/>
    </row>
    <row r="45" spans="1:8" x14ac:dyDescent="0.35">
      <c r="A45" s="9"/>
      <c r="B45" s="39" t="s">
        <v>54</v>
      </c>
      <c r="C45" s="40"/>
      <c r="D45" s="40"/>
      <c r="E45" s="40"/>
    </row>
    <row r="46" spans="1:8" x14ac:dyDescent="0.35">
      <c r="A46" s="10"/>
      <c r="B46" s="39" t="s">
        <v>55</v>
      </c>
      <c r="C46" s="40"/>
      <c r="D46" s="40"/>
      <c r="E46" s="40"/>
    </row>
    <row r="47" spans="1:8" x14ac:dyDescent="0.35">
      <c r="A47" s="11"/>
      <c r="B47" s="39" t="s">
        <v>56</v>
      </c>
      <c r="C47" s="40"/>
      <c r="D47" s="40"/>
      <c r="E47" s="40"/>
    </row>
    <row r="48" spans="1:8" x14ac:dyDescent="0.35">
      <c r="A48" s="12"/>
      <c r="B48" s="39" t="s">
        <v>57</v>
      </c>
      <c r="C48" s="40"/>
      <c r="D48" s="40"/>
      <c r="E48" s="40"/>
    </row>
    <row r="49" spans="1:5" x14ac:dyDescent="0.35">
      <c r="A49" s="13"/>
      <c r="B49" s="39" t="s">
        <v>58</v>
      </c>
      <c r="C49" s="40"/>
      <c r="D49" s="40"/>
      <c r="E49" s="40"/>
    </row>
    <row r="50" spans="1:5" x14ac:dyDescent="0.35">
      <c r="A50" s="14"/>
      <c r="B50" s="39" t="s">
        <v>59</v>
      </c>
      <c r="C50" s="40"/>
      <c r="D50" s="40"/>
      <c r="E50" s="40"/>
    </row>
    <row r="51" spans="1:5" x14ac:dyDescent="0.35">
      <c r="A51" s="15"/>
      <c r="B51" s="39" t="s">
        <v>60</v>
      </c>
      <c r="C51" s="40"/>
      <c r="D51" s="40"/>
      <c r="E51" s="40"/>
    </row>
    <row r="52" spans="1:5" x14ac:dyDescent="0.35">
      <c r="A52" s="16"/>
      <c r="B52" s="39" t="s">
        <v>61</v>
      </c>
      <c r="C52" s="40"/>
      <c r="D52" s="40"/>
      <c r="E52" s="40"/>
    </row>
  </sheetData>
  <mergeCells count="19">
    <mergeCell ref="A1:P1"/>
    <mergeCell ref="H5:J5"/>
    <mergeCell ref="B52:E52"/>
    <mergeCell ref="B48:E48"/>
    <mergeCell ref="A29:H29"/>
    <mergeCell ref="E5:G5"/>
    <mergeCell ref="K5:M5"/>
    <mergeCell ref="B44:E44"/>
    <mergeCell ref="A2:P2"/>
    <mergeCell ref="A39:H39"/>
    <mergeCell ref="B49:E49"/>
    <mergeCell ref="N5:P5"/>
    <mergeCell ref="A4:P4"/>
    <mergeCell ref="B51:E51"/>
    <mergeCell ref="B45:E45"/>
    <mergeCell ref="B50:E50"/>
    <mergeCell ref="B47:E47"/>
    <mergeCell ref="B46:E46"/>
    <mergeCell ref="B5:D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2"/>
  <sheetViews>
    <sheetView workbookViewId="0"/>
  </sheetViews>
  <sheetFormatPr baseColWidth="10" defaultColWidth="8.7265625" defaultRowHeight="14.5" x14ac:dyDescent="0.35"/>
  <cols>
    <col min="1" max="1" width="8" customWidth="1"/>
    <col min="2" max="16" width="11" customWidth="1"/>
  </cols>
  <sheetData>
    <row r="1" spans="1:16" x14ac:dyDescent="0.35">
      <c r="A1" s="44" t="s">
        <v>139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35">
      <c r="A2" s="39" t="s">
        <v>140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16" x14ac:dyDescent="0.35">
      <c r="A4" s="43" t="s">
        <v>64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18" x14ac:dyDescent="0.35">
      <c r="A5" s="17" t="s">
        <v>65</v>
      </c>
      <c r="B5" s="42" t="s">
        <v>66</v>
      </c>
      <c r="C5" s="40"/>
      <c r="D5" s="40"/>
      <c r="E5" s="42" t="s">
        <v>67</v>
      </c>
      <c r="F5" s="40"/>
      <c r="G5" s="40"/>
      <c r="H5" s="42" t="s">
        <v>68</v>
      </c>
      <c r="I5" s="40"/>
      <c r="J5" s="40"/>
      <c r="K5" s="42" t="s">
        <v>69</v>
      </c>
      <c r="L5" s="40"/>
      <c r="M5" s="40"/>
      <c r="N5" s="42" t="s">
        <v>70</v>
      </c>
      <c r="O5" s="40"/>
      <c r="P5" s="40"/>
    </row>
    <row r="6" spans="1:16" x14ac:dyDescent="0.35">
      <c r="A6" s="18"/>
      <c r="B6" s="19" t="s">
        <v>71</v>
      </c>
      <c r="C6" s="19" t="s">
        <v>72</v>
      </c>
      <c r="D6" s="19" t="s">
        <v>73</v>
      </c>
      <c r="E6" s="19" t="s">
        <v>71</v>
      </c>
      <c r="F6" s="19" t="s">
        <v>72</v>
      </c>
      <c r="G6" s="19" t="s">
        <v>73</v>
      </c>
      <c r="H6" s="19" t="s">
        <v>71</v>
      </c>
      <c r="I6" s="19" t="s">
        <v>72</v>
      </c>
      <c r="J6" s="19" t="s">
        <v>73</v>
      </c>
      <c r="K6" s="19" t="s">
        <v>71</v>
      </c>
      <c r="L6" s="19" t="s">
        <v>72</v>
      </c>
      <c r="M6" s="19" t="s">
        <v>73</v>
      </c>
      <c r="N6" s="19" t="s">
        <v>71</v>
      </c>
      <c r="O6" s="19" t="s">
        <v>72</v>
      </c>
      <c r="P6" s="19" t="s">
        <v>73</v>
      </c>
    </row>
    <row r="7" spans="1:16" x14ac:dyDescent="0.35">
      <c r="A7" s="20" t="s">
        <v>74</v>
      </c>
      <c r="B7" s="21" t="s">
        <v>75</v>
      </c>
      <c r="C7" s="22" t="s">
        <v>76</v>
      </c>
      <c r="D7" s="23" t="s">
        <v>135</v>
      </c>
      <c r="E7" s="21" t="s">
        <v>75</v>
      </c>
      <c r="F7" s="22" t="s">
        <v>76</v>
      </c>
      <c r="G7" s="23" t="s">
        <v>135</v>
      </c>
      <c r="H7" s="21" t="s">
        <v>75</v>
      </c>
      <c r="I7" s="22" t="s">
        <v>76</v>
      </c>
      <c r="J7" s="23" t="s">
        <v>135</v>
      </c>
      <c r="K7" s="22" t="s">
        <v>76</v>
      </c>
      <c r="L7" s="21" t="s">
        <v>75</v>
      </c>
      <c r="M7" s="23" t="s">
        <v>135</v>
      </c>
      <c r="N7" s="22" t="s">
        <v>76</v>
      </c>
      <c r="O7" s="21" t="s">
        <v>75</v>
      </c>
      <c r="P7" s="23" t="s">
        <v>135</v>
      </c>
    </row>
    <row r="8" spans="1:16" x14ac:dyDescent="0.35">
      <c r="A8" s="20" t="s">
        <v>79</v>
      </c>
      <c r="B8" s="24" t="s">
        <v>53</v>
      </c>
      <c r="C8" s="25" t="s">
        <v>80</v>
      </c>
      <c r="D8" s="23" t="s">
        <v>135</v>
      </c>
      <c r="E8" s="24" t="s">
        <v>53</v>
      </c>
      <c r="F8" s="25" t="s">
        <v>80</v>
      </c>
      <c r="G8" s="23" t="s">
        <v>135</v>
      </c>
      <c r="H8" s="24" t="s">
        <v>53</v>
      </c>
      <c r="I8" s="25" t="s">
        <v>80</v>
      </c>
      <c r="J8" s="23" t="s">
        <v>135</v>
      </c>
      <c r="K8" s="25" t="s">
        <v>80</v>
      </c>
      <c r="L8" s="24" t="s">
        <v>53</v>
      </c>
      <c r="M8" s="23" t="s">
        <v>135</v>
      </c>
      <c r="N8" s="25" t="s">
        <v>80</v>
      </c>
      <c r="O8" s="24" t="s">
        <v>53</v>
      </c>
      <c r="P8" s="23" t="s">
        <v>135</v>
      </c>
    </row>
    <row r="9" spans="1:16" x14ac:dyDescent="0.35">
      <c r="A9" s="20" t="s">
        <v>83</v>
      </c>
      <c r="B9" s="24" t="s">
        <v>53</v>
      </c>
      <c r="C9" s="25" t="s">
        <v>80</v>
      </c>
      <c r="D9" s="23" t="s">
        <v>135</v>
      </c>
      <c r="E9" s="24" t="s">
        <v>53</v>
      </c>
      <c r="F9" s="25" t="s">
        <v>80</v>
      </c>
      <c r="G9" s="23" t="s">
        <v>135</v>
      </c>
      <c r="H9" s="24" t="s">
        <v>53</v>
      </c>
      <c r="I9" s="25" t="s">
        <v>80</v>
      </c>
      <c r="J9" s="23" t="s">
        <v>135</v>
      </c>
      <c r="K9" s="25" t="s">
        <v>80</v>
      </c>
      <c r="L9" s="24" t="s">
        <v>53</v>
      </c>
      <c r="M9" s="23" t="s">
        <v>135</v>
      </c>
      <c r="N9" s="25" t="s">
        <v>80</v>
      </c>
      <c r="O9" s="24" t="s">
        <v>53</v>
      </c>
      <c r="P9" s="23" t="s">
        <v>135</v>
      </c>
    </row>
    <row r="10" spans="1:16" x14ac:dyDescent="0.35">
      <c r="A10" s="20" t="s">
        <v>84</v>
      </c>
      <c r="B10" s="24" t="s">
        <v>53</v>
      </c>
      <c r="C10" s="25" t="s">
        <v>80</v>
      </c>
      <c r="D10" s="23" t="s">
        <v>135</v>
      </c>
      <c r="E10" s="24" t="s">
        <v>53</v>
      </c>
      <c r="F10" s="25" t="s">
        <v>80</v>
      </c>
      <c r="G10" s="23" t="s">
        <v>135</v>
      </c>
      <c r="H10" s="24" t="s">
        <v>53</v>
      </c>
      <c r="I10" s="25" t="s">
        <v>80</v>
      </c>
      <c r="J10" s="23" t="s">
        <v>135</v>
      </c>
      <c r="K10" s="25" t="s">
        <v>80</v>
      </c>
      <c r="L10" s="24" t="s">
        <v>53</v>
      </c>
      <c r="M10" s="23" t="s">
        <v>135</v>
      </c>
      <c r="N10" s="25" t="s">
        <v>80</v>
      </c>
      <c r="O10" s="24" t="s">
        <v>53</v>
      </c>
      <c r="P10" s="23" t="s">
        <v>135</v>
      </c>
    </row>
    <row r="11" spans="1:16" x14ac:dyDescent="0.35">
      <c r="A11" s="20" t="s">
        <v>85</v>
      </c>
      <c r="B11" s="24" t="s">
        <v>53</v>
      </c>
      <c r="C11" s="25" t="s">
        <v>80</v>
      </c>
      <c r="D11" s="23" t="s">
        <v>135</v>
      </c>
      <c r="E11" s="24" t="s">
        <v>53</v>
      </c>
      <c r="F11" s="25" t="s">
        <v>80</v>
      </c>
      <c r="G11" s="23" t="s">
        <v>135</v>
      </c>
      <c r="H11" s="24" t="s">
        <v>53</v>
      </c>
      <c r="I11" s="25" t="s">
        <v>80</v>
      </c>
      <c r="J11" s="23" t="s">
        <v>135</v>
      </c>
      <c r="K11" s="25" t="s">
        <v>80</v>
      </c>
      <c r="L11" s="24" t="s">
        <v>53</v>
      </c>
      <c r="M11" s="23" t="s">
        <v>135</v>
      </c>
      <c r="N11" s="25" t="s">
        <v>80</v>
      </c>
      <c r="O11" s="24" t="s">
        <v>53</v>
      </c>
      <c r="P11" s="23" t="s">
        <v>135</v>
      </c>
    </row>
    <row r="12" spans="1:16" x14ac:dyDescent="0.35">
      <c r="A12" s="20" t="s">
        <v>86</v>
      </c>
      <c r="B12" s="24" t="s">
        <v>53</v>
      </c>
      <c r="C12" s="25" t="s">
        <v>80</v>
      </c>
      <c r="D12" s="23" t="s">
        <v>135</v>
      </c>
      <c r="E12" s="24" t="s">
        <v>53</v>
      </c>
      <c r="F12" s="25" t="s">
        <v>80</v>
      </c>
      <c r="G12" s="23" t="s">
        <v>135</v>
      </c>
      <c r="H12" s="24" t="s">
        <v>53</v>
      </c>
      <c r="I12" s="25" t="s">
        <v>80</v>
      </c>
      <c r="J12" s="23" t="s">
        <v>135</v>
      </c>
      <c r="K12" s="25" t="s">
        <v>80</v>
      </c>
      <c r="L12" s="24" t="s">
        <v>53</v>
      </c>
      <c r="M12" s="23" t="s">
        <v>135</v>
      </c>
      <c r="N12" s="25" t="s">
        <v>80</v>
      </c>
      <c r="O12" s="24" t="s">
        <v>53</v>
      </c>
      <c r="P12" s="23" t="s">
        <v>135</v>
      </c>
    </row>
    <row r="13" spans="1:16" x14ac:dyDescent="0.35">
      <c r="A13" s="20" t="s">
        <v>87</v>
      </c>
      <c r="B13" s="24" t="s">
        <v>53</v>
      </c>
      <c r="C13" s="25" t="s">
        <v>80</v>
      </c>
      <c r="D13" s="23" t="s">
        <v>135</v>
      </c>
      <c r="E13" s="24" t="s">
        <v>53</v>
      </c>
      <c r="F13" s="25" t="s">
        <v>80</v>
      </c>
      <c r="G13" s="23" t="s">
        <v>135</v>
      </c>
      <c r="H13" s="24" t="s">
        <v>53</v>
      </c>
      <c r="I13" s="25" t="s">
        <v>80</v>
      </c>
      <c r="J13" s="23" t="s">
        <v>135</v>
      </c>
      <c r="K13" s="25" t="s">
        <v>80</v>
      </c>
      <c r="L13" s="24" t="s">
        <v>53</v>
      </c>
      <c r="M13" s="23" t="s">
        <v>135</v>
      </c>
      <c r="N13" s="25" t="s">
        <v>80</v>
      </c>
      <c r="O13" s="24" t="s">
        <v>53</v>
      </c>
      <c r="P13" s="23" t="s">
        <v>135</v>
      </c>
    </row>
    <row r="14" spans="1:16" x14ac:dyDescent="0.35">
      <c r="A14" s="20" t="s">
        <v>88</v>
      </c>
      <c r="B14" s="24" t="s">
        <v>53</v>
      </c>
      <c r="C14" s="25" t="s">
        <v>80</v>
      </c>
      <c r="D14" s="23" t="s">
        <v>135</v>
      </c>
      <c r="E14" s="24" t="s">
        <v>53</v>
      </c>
      <c r="F14" s="25" t="s">
        <v>80</v>
      </c>
      <c r="G14" s="23" t="s">
        <v>135</v>
      </c>
      <c r="H14" s="24" t="s">
        <v>53</v>
      </c>
      <c r="I14" s="25" t="s">
        <v>80</v>
      </c>
      <c r="J14" s="23" t="s">
        <v>135</v>
      </c>
      <c r="K14" s="25" t="s">
        <v>80</v>
      </c>
      <c r="L14" s="24" t="s">
        <v>53</v>
      </c>
      <c r="M14" s="23" t="s">
        <v>135</v>
      </c>
      <c r="N14" s="25" t="s">
        <v>80</v>
      </c>
      <c r="O14" s="24" t="s">
        <v>53</v>
      </c>
      <c r="P14" s="23" t="s">
        <v>135</v>
      </c>
    </row>
    <row r="15" spans="1:16" x14ac:dyDescent="0.35">
      <c r="A15" s="20" t="s">
        <v>89</v>
      </c>
      <c r="B15" s="24" t="s">
        <v>53</v>
      </c>
      <c r="C15" s="25" t="s">
        <v>80</v>
      </c>
      <c r="D15" s="23" t="s">
        <v>135</v>
      </c>
      <c r="E15" s="24" t="s">
        <v>53</v>
      </c>
      <c r="F15" s="25" t="s">
        <v>80</v>
      </c>
      <c r="G15" s="23" t="s">
        <v>135</v>
      </c>
      <c r="H15" s="24" t="s">
        <v>53</v>
      </c>
      <c r="I15" s="25" t="s">
        <v>80</v>
      </c>
      <c r="J15" s="23" t="s">
        <v>135</v>
      </c>
      <c r="K15" s="25" t="s">
        <v>80</v>
      </c>
      <c r="L15" s="24" t="s">
        <v>53</v>
      </c>
      <c r="M15" s="23" t="s">
        <v>135</v>
      </c>
      <c r="N15" s="25" t="s">
        <v>80</v>
      </c>
      <c r="O15" s="24" t="s">
        <v>53</v>
      </c>
      <c r="P15" s="23" t="s">
        <v>135</v>
      </c>
    </row>
    <row r="16" spans="1:16" x14ac:dyDescent="0.35">
      <c r="A16" s="20" t="s">
        <v>90</v>
      </c>
      <c r="B16" s="26" t="s">
        <v>91</v>
      </c>
      <c r="C16" s="27" t="s">
        <v>91</v>
      </c>
      <c r="D16" s="23" t="s">
        <v>135</v>
      </c>
      <c r="E16" s="26" t="s">
        <v>91</v>
      </c>
      <c r="F16" s="27" t="s">
        <v>91</v>
      </c>
      <c r="G16" s="23" t="s">
        <v>135</v>
      </c>
      <c r="H16" s="21" t="s">
        <v>93</v>
      </c>
      <c r="I16" s="27" t="s">
        <v>91</v>
      </c>
      <c r="J16" s="23" t="s">
        <v>135</v>
      </c>
      <c r="K16" s="27" t="s">
        <v>91</v>
      </c>
      <c r="L16" s="26" t="s">
        <v>91</v>
      </c>
      <c r="M16" s="23" t="s">
        <v>135</v>
      </c>
      <c r="N16" s="27" t="s">
        <v>91</v>
      </c>
      <c r="O16" s="26" t="s">
        <v>91</v>
      </c>
      <c r="P16" s="23" t="s">
        <v>135</v>
      </c>
    </row>
    <row r="17" spans="1:16" x14ac:dyDescent="0.35">
      <c r="A17" s="20" t="s">
        <v>95</v>
      </c>
      <c r="B17" s="24" t="s">
        <v>53</v>
      </c>
      <c r="C17" s="25" t="s">
        <v>80</v>
      </c>
      <c r="D17" s="23" t="s">
        <v>135</v>
      </c>
      <c r="E17" s="24" t="s">
        <v>53</v>
      </c>
      <c r="F17" s="25" t="s">
        <v>80</v>
      </c>
      <c r="G17" s="23" t="s">
        <v>135</v>
      </c>
      <c r="H17" s="27" t="s">
        <v>91</v>
      </c>
      <c r="I17" s="21" t="s">
        <v>75</v>
      </c>
      <c r="J17" s="23" t="s">
        <v>135</v>
      </c>
      <c r="K17" s="25" t="s">
        <v>80</v>
      </c>
      <c r="L17" s="24" t="s">
        <v>53</v>
      </c>
      <c r="M17" s="23" t="s">
        <v>135</v>
      </c>
      <c r="N17" s="25" t="s">
        <v>80</v>
      </c>
      <c r="O17" s="24" t="s">
        <v>53</v>
      </c>
      <c r="P17" s="23" t="s">
        <v>135</v>
      </c>
    </row>
    <row r="18" spans="1:16" x14ac:dyDescent="0.35">
      <c r="A18" s="20" t="s">
        <v>96</v>
      </c>
      <c r="B18" s="24" t="s">
        <v>53</v>
      </c>
      <c r="C18" s="25" t="s">
        <v>80</v>
      </c>
      <c r="D18" s="23" t="s">
        <v>81</v>
      </c>
      <c r="E18" s="24" t="s">
        <v>53</v>
      </c>
      <c r="F18" s="25" t="s">
        <v>80</v>
      </c>
      <c r="G18" s="23" t="s">
        <v>81</v>
      </c>
      <c r="H18" s="25" t="s">
        <v>80</v>
      </c>
      <c r="I18" s="24" t="s">
        <v>53</v>
      </c>
      <c r="J18" s="23" t="s">
        <v>82</v>
      </c>
      <c r="K18" s="25" t="s">
        <v>80</v>
      </c>
      <c r="L18" s="24" t="s">
        <v>53</v>
      </c>
      <c r="M18" s="23" t="s">
        <v>82</v>
      </c>
      <c r="N18" s="25" t="s">
        <v>80</v>
      </c>
      <c r="O18" s="24" t="s">
        <v>53</v>
      </c>
      <c r="P18" s="23" t="s">
        <v>82</v>
      </c>
    </row>
    <row r="19" spans="1:16" x14ac:dyDescent="0.35">
      <c r="A19" s="20" t="s">
        <v>97</v>
      </c>
      <c r="B19" s="24" t="s">
        <v>53</v>
      </c>
      <c r="C19" s="25" t="s">
        <v>80</v>
      </c>
      <c r="D19" s="23" t="s">
        <v>81</v>
      </c>
      <c r="E19" s="24" t="s">
        <v>53</v>
      </c>
      <c r="F19" s="25" t="s">
        <v>80</v>
      </c>
      <c r="G19" s="23" t="s">
        <v>81</v>
      </c>
      <c r="H19" s="25" t="s">
        <v>80</v>
      </c>
      <c r="I19" s="24" t="s">
        <v>53</v>
      </c>
      <c r="J19" s="23" t="s">
        <v>82</v>
      </c>
      <c r="K19" s="25" t="s">
        <v>80</v>
      </c>
      <c r="L19" s="24" t="s">
        <v>53</v>
      </c>
      <c r="M19" s="23" t="s">
        <v>82</v>
      </c>
      <c r="N19" s="25" t="s">
        <v>80</v>
      </c>
      <c r="O19" s="24" t="s">
        <v>53</v>
      </c>
      <c r="P19" s="23" t="s">
        <v>82</v>
      </c>
    </row>
    <row r="20" spans="1:16" x14ac:dyDescent="0.35">
      <c r="A20" s="20" t="s">
        <v>98</v>
      </c>
      <c r="B20" s="24" t="s">
        <v>53</v>
      </c>
      <c r="C20" s="25" t="s">
        <v>80</v>
      </c>
      <c r="D20" s="23" t="s">
        <v>81</v>
      </c>
      <c r="E20" s="24" t="s">
        <v>53</v>
      </c>
      <c r="F20" s="25" t="s">
        <v>80</v>
      </c>
      <c r="G20" s="23" t="s">
        <v>81</v>
      </c>
      <c r="H20" s="25" t="s">
        <v>80</v>
      </c>
      <c r="I20" s="24" t="s">
        <v>53</v>
      </c>
      <c r="J20" s="23" t="s">
        <v>82</v>
      </c>
      <c r="K20" s="25" t="s">
        <v>80</v>
      </c>
      <c r="L20" s="24" t="s">
        <v>53</v>
      </c>
      <c r="M20" s="23" t="s">
        <v>82</v>
      </c>
      <c r="N20" s="25" t="s">
        <v>80</v>
      </c>
      <c r="O20" s="24" t="s">
        <v>53</v>
      </c>
      <c r="P20" s="23" t="s">
        <v>82</v>
      </c>
    </row>
    <row r="21" spans="1:16" x14ac:dyDescent="0.35">
      <c r="A21" s="20" t="s">
        <v>99</v>
      </c>
      <c r="B21" s="24" t="s">
        <v>53</v>
      </c>
      <c r="C21" s="25" t="s">
        <v>80</v>
      </c>
      <c r="D21" s="23" t="s">
        <v>81</v>
      </c>
      <c r="E21" s="24" t="s">
        <v>53</v>
      </c>
      <c r="F21" s="25" t="s">
        <v>80</v>
      </c>
      <c r="G21" s="23" t="s">
        <v>81</v>
      </c>
      <c r="H21" s="25" t="s">
        <v>80</v>
      </c>
      <c r="I21" s="24" t="s">
        <v>53</v>
      </c>
      <c r="J21" s="23" t="s">
        <v>82</v>
      </c>
      <c r="K21" s="25" t="s">
        <v>80</v>
      </c>
      <c r="L21" s="24" t="s">
        <v>53</v>
      </c>
      <c r="M21" s="23" t="s">
        <v>82</v>
      </c>
      <c r="N21" s="25" t="s">
        <v>80</v>
      </c>
      <c r="O21" s="24" t="s">
        <v>53</v>
      </c>
      <c r="P21" s="23" t="s">
        <v>82</v>
      </c>
    </row>
    <row r="22" spans="1:16" x14ac:dyDescent="0.35">
      <c r="A22" s="20" t="s">
        <v>100</v>
      </c>
      <c r="B22" s="24" t="s">
        <v>53</v>
      </c>
      <c r="C22" s="25" t="s">
        <v>80</v>
      </c>
      <c r="D22" s="23" t="s">
        <v>81</v>
      </c>
      <c r="E22" s="24" t="s">
        <v>53</v>
      </c>
      <c r="F22" s="25" t="s">
        <v>80</v>
      </c>
      <c r="G22" s="23" t="s">
        <v>81</v>
      </c>
      <c r="H22" s="25" t="s">
        <v>80</v>
      </c>
      <c r="I22" s="24" t="s">
        <v>53</v>
      </c>
      <c r="J22" s="23" t="s">
        <v>82</v>
      </c>
      <c r="K22" s="25" t="s">
        <v>80</v>
      </c>
      <c r="L22" s="24" t="s">
        <v>53</v>
      </c>
      <c r="M22" s="23" t="s">
        <v>82</v>
      </c>
      <c r="N22" s="25" t="s">
        <v>80</v>
      </c>
      <c r="O22" s="24" t="s">
        <v>53</v>
      </c>
      <c r="P22" s="23" t="s">
        <v>82</v>
      </c>
    </row>
    <row r="23" spans="1:16" x14ac:dyDescent="0.35">
      <c r="A23" s="20" t="s">
        <v>101</v>
      </c>
      <c r="B23" s="21" t="s">
        <v>93</v>
      </c>
      <c r="C23" s="22" t="s">
        <v>76</v>
      </c>
      <c r="D23" s="23" t="s">
        <v>77</v>
      </c>
      <c r="E23" s="21" t="s">
        <v>93</v>
      </c>
      <c r="F23" s="22" t="s">
        <v>76</v>
      </c>
      <c r="G23" s="23" t="s">
        <v>77</v>
      </c>
      <c r="H23" s="25" t="s">
        <v>80</v>
      </c>
      <c r="I23" s="24" t="s">
        <v>53</v>
      </c>
      <c r="J23" s="23" t="s">
        <v>82</v>
      </c>
      <c r="K23" s="22" t="s">
        <v>76</v>
      </c>
      <c r="L23" s="21" t="s">
        <v>93</v>
      </c>
      <c r="M23" s="23" t="s">
        <v>78</v>
      </c>
      <c r="N23" s="22" t="s">
        <v>76</v>
      </c>
      <c r="O23" s="21" t="s">
        <v>93</v>
      </c>
      <c r="P23" s="23" t="s">
        <v>78</v>
      </c>
    </row>
    <row r="24" spans="1:16" x14ac:dyDescent="0.35">
      <c r="A24" s="20" t="s">
        <v>102</v>
      </c>
      <c r="B24" s="22" t="s">
        <v>76</v>
      </c>
      <c r="C24" s="22" t="s">
        <v>76</v>
      </c>
      <c r="D24" s="23" t="s">
        <v>105</v>
      </c>
      <c r="E24" s="22" t="s">
        <v>76</v>
      </c>
      <c r="F24" s="22" t="s">
        <v>76</v>
      </c>
      <c r="G24" s="23" t="s">
        <v>105</v>
      </c>
      <c r="H24" s="22" t="s">
        <v>76</v>
      </c>
      <c r="I24" s="22" t="s">
        <v>76</v>
      </c>
      <c r="J24" s="23" t="s">
        <v>105</v>
      </c>
      <c r="K24" s="22" t="s">
        <v>76</v>
      </c>
      <c r="L24" s="22" t="s">
        <v>76</v>
      </c>
      <c r="M24" s="23" t="s">
        <v>105</v>
      </c>
      <c r="N24" s="22" t="s">
        <v>76</v>
      </c>
      <c r="O24" s="22" t="s">
        <v>76</v>
      </c>
      <c r="P24" s="23" t="s">
        <v>105</v>
      </c>
    </row>
    <row r="25" spans="1:16" x14ac:dyDescent="0.35">
      <c r="A25" s="20" t="s">
        <v>103</v>
      </c>
      <c r="B25" s="22" t="s">
        <v>76</v>
      </c>
      <c r="C25" s="22" t="s">
        <v>76</v>
      </c>
      <c r="D25" s="23" t="s">
        <v>105</v>
      </c>
      <c r="E25" s="22" t="s">
        <v>76</v>
      </c>
      <c r="F25" s="22" t="s">
        <v>76</v>
      </c>
      <c r="G25" s="23" t="s">
        <v>105</v>
      </c>
      <c r="H25" s="22" t="s">
        <v>76</v>
      </c>
      <c r="I25" s="22" t="s">
        <v>76</v>
      </c>
      <c r="J25" s="23" t="s">
        <v>105</v>
      </c>
      <c r="K25" s="22" t="s">
        <v>76</v>
      </c>
      <c r="L25" s="22" t="s">
        <v>76</v>
      </c>
      <c r="M25" s="23" t="s">
        <v>105</v>
      </c>
      <c r="N25" s="22" t="s">
        <v>76</v>
      </c>
      <c r="O25" s="22" t="s">
        <v>76</v>
      </c>
      <c r="P25" s="23" t="s">
        <v>105</v>
      </c>
    </row>
    <row r="26" spans="1:16" x14ac:dyDescent="0.35">
      <c r="A26" s="20" t="s">
        <v>104</v>
      </c>
      <c r="B26" s="22" t="s">
        <v>76</v>
      </c>
      <c r="C26" s="22" t="s">
        <v>76</v>
      </c>
      <c r="D26" s="23" t="s">
        <v>105</v>
      </c>
      <c r="E26" s="22" t="s">
        <v>76</v>
      </c>
      <c r="F26" s="22" t="s">
        <v>76</v>
      </c>
      <c r="G26" s="23" t="s">
        <v>105</v>
      </c>
      <c r="H26" s="22" t="s">
        <v>76</v>
      </c>
      <c r="I26" s="22" t="s">
        <v>76</v>
      </c>
      <c r="J26" s="23" t="s">
        <v>105</v>
      </c>
      <c r="K26" s="22" t="s">
        <v>76</v>
      </c>
      <c r="L26" s="22" t="s">
        <v>76</v>
      </c>
      <c r="M26" s="23" t="s">
        <v>105</v>
      </c>
      <c r="N26" s="22" t="s">
        <v>76</v>
      </c>
      <c r="O26" s="22" t="s">
        <v>76</v>
      </c>
      <c r="P26" s="23" t="s">
        <v>105</v>
      </c>
    </row>
    <row r="27" spans="1:16" x14ac:dyDescent="0.35">
      <c r="A27" s="20" t="s">
        <v>106</v>
      </c>
      <c r="B27" s="22" t="s">
        <v>76</v>
      </c>
      <c r="C27" s="22" t="s">
        <v>76</v>
      </c>
      <c r="D27" s="23" t="s">
        <v>105</v>
      </c>
      <c r="E27" s="22" t="s">
        <v>76</v>
      </c>
      <c r="F27" s="22" t="s">
        <v>76</v>
      </c>
      <c r="G27" s="23" t="s">
        <v>105</v>
      </c>
      <c r="H27" s="22" t="s">
        <v>76</v>
      </c>
      <c r="I27" s="22" t="s">
        <v>76</v>
      </c>
      <c r="J27" s="23" t="s">
        <v>105</v>
      </c>
      <c r="K27" s="22" t="s">
        <v>76</v>
      </c>
      <c r="L27" s="22" t="s">
        <v>76</v>
      </c>
      <c r="M27" s="23" t="s">
        <v>105</v>
      </c>
      <c r="N27" s="22" t="s">
        <v>76</v>
      </c>
      <c r="O27" s="22" t="s">
        <v>76</v>
      </c>
      <c r="P27" s="23" t="s">
        <v>105</v>
      </c>
    </row>
    <row r="29" spans="1:16" x14ac:dyDescent="0.35">
      <c r="A29" s="45" t="s">
        <v>107</v>
      </c>
      <c r="B29" s="40"/>
      <c r="C29" s="40"/>
      <c r="D29" s="40"/>
      <c r="E29" s="40"/>
      <c r="F29" s="40"/>
      <c r="G29" s="40"/>
      <c r="H29" s="40"/>
    </row>
    <row r="30" spans="1:16" ht="26" x14ac:dyDescent="0.35">
      <c r="A30" s="28"/>
      <c r="B30" s="28" t="s">
        <v>108</v>
      </c>
      <c r="C30" s="28" t="s">
        <v>109</v>
      </c>
      <c r="D30" s="28" t="s">
        <v>110</v>
      </c>
      <c r="E30" s="28" t="s">
        <v>111</v>
      </c>
      <c r="F30" s="28" t="s">
        <v>112</v>
      </c>
      <c r="G30" s="28" t="s">
        <v>113</v>
      </c>
      <c r="H30" s="28" t="s">
        <v>114</v>
      </c>
    </row>
    <row r="31" spans="1:16" x14ac:dyDescent="0.35">
      <c r="A31" s="29" t="s">
        <v>71</v>
      </c>
      <c r="B31" s="30">
        <v>35</v>
      </c>
      <c r="C31" s="31">
        <v>96000</v>
      </c>
      <c r="D31" s="32">
        <f>B31/40</f>
        <v>0.875</v>
      </c>
      <c r="E31" s="31">
        <f>C31*D31/12</f>
        <v>7000</v>
      </c>
      <c r="F31" s="31">
        <f>C31*D31</f>
        <v>84000</v>
      </c>
      <c r="G31" s="31">
        <f>IF(E31&gt;=8000,E31*0.6,IF(E31&gt;=7000,E31*0.61,IF(E31&gt;=6000,E31*0.62,IF(E31&gt;=5000,E31*0.64,IF(E31&gt;=4000,E31*0.66,IF(E31&gt;=3000,E31*0.68,E31*0.7))))))</f>
        <v>4270</v>
      </c>
      <c r="H31" s="31">
        <f>G31*12</f>
        <v>51240</v>
      </c>
    </row>
    <row r="32" spans="1:16" ht="26" x14ac:dyDescent="0.35">
      <c r="A32" s="29" t="s">
        <v>115</v>
      </c>
      <c r="B32" s="30">
        <v>35</v>
      </c>
      <c r="C32" s="31">
        <v>84000</v>
      </c>
      <c r="D32" s="32">
        <f>B32/40</f>
        <v>0.875</v>
      </c>
      <c r="E32" s="31">
        <f>C32*D32/12</f>
        <v>6125</v>
      </c>
      <c r="F32" s="31">
        <f>C32*D32</f>
        <v>73500</v>
      </c>
      <c r="G32" s="31">
        <f>IF(E32&gt;=8000,E32*0.6,IF(E32&gt;=7000,E32*0.61,IF(E32&gt;=6000,E32*0.62,IF(E32&gt;=5000,E32*0.64,IF(E32&gt;=4000,E32*0.66,IF(E32&gt;=3000,E32*0.68,E32*0.7))))))</f>
        <v>3797.5</v>
      </c>
      <c r="H32" s="31">
        <f>G32*12</f>
        <v>45570</v>
      </c>
    </row>
    <row r="33" spans="1:8" ht="39" x14ac:dyDescent="0.35">
      <c r="A33" s="33" t="s">
        <v>116</v>
      </c>
      <c r="B33" s="34">
        <f>B31+B32</f>
        <v>70</v>
      </c>
      <c r="C33" s="33"/>
      <c r="D33" s="33"/>
      <c r="E33" s="35">
        <f>E31+E32</f>
        <v>13125</v>
      </c>
      <c r="F33" s="35">
        <f>F31+F32</f>
        <v>157500</v>
      </c>
      <c r="G33" s="35">
        <f>G31+G32</f>
        <v>8067.5</v>
      </c>
      <c r="H33" s="35">
        <f>H31+H32</f>
        <v>96810</v>
      </c>
    </row>
    <row r="35" spans="1:8" x14ac:dyDescent="0.35">
      <c r="A35" s="6" t="s">
        <v>117</v>
      </c>
      <c r="B35" s="36">
        <f>F33*0.7</f>
        <v>110250</v>
      </c>
    </row>
    <row r="36" spans="1:8" x14ac:dyDescent="0.35">
      <c r="A36" s="6" t="s">
        <v>141</v>
      </c>
      <c r="B36" s="38">
        <v>388</v>
      </c>
    </row>
    <row r="37" spans="1:8" x14ac:dyDescent="0.35">
      <c r="A37" s="6" t="s">
        <v>137</v>
      </c>
      <c r="B37" s="37">
        <f>G33-B36</f>
        <v>7679.5</v>
      </c>
    </row>
    <row r="39" spans="1:8" x14ac:dyDescent="0.35">
      <c r="A39" s="39" t="s">
        <v>119</v>
      </c>
      <c r="B39" s="40"/>
      <c r="C39" s="40"/>
      <c r="D39" s="40"/>
      <c r="E39" s="40"/>
      <c r="F39" s="40"/>
      <c r="G39" s="40"/>
      <c r="H39" s="40"/>
    </row>
    <row r="40" spans="1:8" x14ac:dyDescent="0.35">
      <c r="A40" s="8" t="s">
        <v>142</v>
      </c>
    </row>
    <row r="43" spans="1:8" x14ac:dyDescent="0.35">
      <c r="A43" s="6" t="s">
        <v>52</v>
      </c>
    </row>
    <row r="44" spans="1:8" x14ac:dyDescent="0.35">
      <c r="A44" s="7"/>
      <c r="B44" s="39" t="s">
        <v>53</v>
      </c>
      <c r="C44" s="40"/>
      <c r="D44" s="40"/>
      <c r="E44" s="40"/>
    </row>
    <row r="45" spans="1:8" x14ac:dyDescent="0.35">
      <c r="A45" s="9"/>
      <c r="B45" s="39" t="s">
        <v>54</v>
      </c>
      <c r="C45" s="40"/>
      <c r="D45" s="40"/>
      <c r="E45" s="40"/>
    </row>
    <row r="46" spans="1:8" x14ac:dyDescent="0.35">
      <c r="A46" s="10"/>
      <c r="B46" s="39" t="s">
        <v>55</v>
      </c>
      <c r="C46" s="40"/>
      <c r="D46" s="40"/>
      <c r="E46" s="40"/>
    </row>
    <row r="47" spans="1:8" x14ac:dyDescent="0.35">
      <c r="A47" s="11"/>
      <c r="B47" s="39" t="s">
        <v>56</v>
      </c>
      <c r="C47" s="40"/>
      <c r="D47" s="40"/>
      <c r="E47" s="40"/>
    </row>
    <row r="48" spans="1:8" x14ac:dyDescent="0.35">
      <c r="A48" s="12"/>
      <c r="B48" s="39" t="s">
        <v>57</v>
      </c>
      <c r="C48" s="40"/>
      <c r="D48" s="40"/>
      <c r="E48" s="40"/>
    </row>
    <row r="49" spans="1:5" x14ac:dyDescent="0.35">
      <c r="A49" s="13"/>
      <c r="B49" s="39" t="s">
        <v>58</v>
      </c>
      <c r="C49" s="40"/>
      <c r="D49" s="40"/>
      <c r="E49" s="40"/>
    </row>
    <row r="50" spans="1:5" x14ac:dyDescent="0.35">
      <c r="A50" s="14"/>
      <c r="B50" s="39" t="s">
        <v>59</v>
      </c>
      <c r="C50" s="40"/>
      <c r="D50" s="40"/>
      <c r="E50" s="40"/>
    </row>
    <row r="51" spans="1:5" x14ac:dyDescent="0.35">
      <c r="A51" s="15"/>
      <c r="B51" s="39" t="s">
        <v>60</v>
      </c>
      <c r="C51" s="40"/>
      <c r="D51" s="40"/>
      <c r="E51" s="40"/>
    </row>
    <row r="52" spans="1:5" x14ac:dyDescent="0.35">
      <c r="A52" s="16"/>
      <c r="B52" s="39" t="s">
        <v>61</v>
      </c>
      <c r="C52" s="40"/>
      <c r="D52" s="40"/>
      <c r="E52" s="40"/>
    </row>
  </sheetData>
  <mergeCells count="19">
    <mergeCell ref="A1:P1"/>
    <mergeCell ref="H5:J5"/>
    <mergeCell ref="B52:E52"/>
    <mergeCell ref="B48:E48"/>
    <mergeCell ref="A29:H29"/>
    <mergeCell ref="E5:G5"/>
    <mergeCell ref="K5:M5"/>
    <mergeCell ref="B44:E44"/>
    <mergeCell ref="A2:P2"/>
    <mergeCell ref="A39:H39"/>
    <mergeCell ref="B49:E49"/>
    <mergeCell ref="N5:P5"/>
    <mergeCell ref="A4:P4"/>
    <mergeCell ref="B51:E51"/>
    <mergeCell ref="B45:E45"/>
    <mergeCell ref="B50:E50"/>
    <mergeCell ref="B47:E47"/>
    <mergeCell ref="B46:E46"/>
    <mergeCell ref="B5:D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2"/>
  <sheetViews>
    <sheetView workbookViewId="0"/>
  </sheetViews>
  <sheetFormatPr baseColWidth="10" defaultColWidth="8.7265625" defaultRowHeight="14.5" x14ac:dyDescent="0.35"/>
  <cols>
    <col min="1" max="1" width="8" customWidth="1"/>
    <col min="2" max="16" width="11" customWidth="1"/>
  </cols>
  <sheetData>
    <row r="1" spans="1:16" x14ac:dyDescent="0.35">
      <c r="A1" s="44" t="s">
        <v>143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35">
      <c r="A2" s="39" t="s">
        <v>144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16" x14ac:dyDescent="0.35">
      <c r="A4" s="43" t="s">
        <v>64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18" x14ac:dyDescent="0.35">
      <c r="A5" s="17" t="s">
        <v>65</v>
      </c>
      <c r="B5" s="42" t="s">
        <v>66</v>
      </c>
      <c r="C5" s="40"/>
      <c r="D5" s="40"/>
      <c r="E5" s="42" t="s">
        <v>67</v>
      </c>
      <c r="F5" s="40"/>
      <c r="G5" s="40"/>
      <c r="H5" s="42" t="s">
        <v>68</v>
      </c>
      <c r="I5" s="40"/>
      <c r="J5" s="40"/>
      <c r="K5" s="42" t="s">
        <v>69</v>
      </c>
      <c r="L5" s="40"/>
      <c r="M5" s="40"/>
      <c r="N5" s="42" t="s">
        <v>70</v>
      </c>
      <c r="O5" s="40"/>
      <c r="P5" s="40"/>
    </row>
    <row r="6" spans="1:16" x14ac:dyDescent="0.35">
      <c r="A6" s="18"/>
      <c r="B6" s="19" t="s">
        <v>71</v>
      </c>
      <c r="C6" s="19" t="s">
        <v>72</v>
      </c>
      <c r="D6" s="19" t="s">
        <v>73</v>
      </c>
      <c r="E6" s="19" t="s">
        <v>71</v>
      </c>
      <c r="F6" s="19" t="s">
        <v>72</v>
      </c>
      <c r="G6" s="19" t="s">
        <v>73</v>
      </c>
      <c r="H6" s="19" t="s">
        <v>71</v>
      </c>
      <c r="I6" s="19" t="s">
        <v>72</v>
      </c>
      <c r="J6" s="19" t="s">
        <v>73</v>
      </c>
      <c r="K6" s="19" t="s">
        <v>71</v>
      </c>
      <c r="L6" s="19" t="s">
        <v>72</v>
      </c>
      <c r="M6" s="19" t="s">
        <v>73</v>
      </c>
      <c r="N6" s="19" t="s">
        <v>71</v>
      </c>
      <c r="O6" s="19" t="s">
        <v>72</v>
      </c>
      <c r="P6" s="19" t="s">
        <v>73</v>
      </c>
    </row>
    <row r="7" spans="1:16" x14ac:dyDescent="0.35">
      <c r="A7" s="20" t="s">
        <v>74</v>
      </c>
      <c r="B7" s="21" t="s">
        <v>75</v>
      </c>
      <c r="C7" s="22" t="s">
        <v>76</v>
      </c>
      <c r="D7" s="23" t="s">
        <v>135</v>
      </c>
      <c r="E7" s="22" t="s">
        <v>76</v>
      </c>
      <c r="F7" s="22" t="s">
        <v>76</v>
      </c>
      <c r="G7" s="23" t="s">
        <v>105</v>
      </c>
      <c r="H7" s="21" t="s">
        <v>75</v>
      </c>
      <c r="I7" s="21" t="s">
        <v>75</v>
      </c>
      <c r="J7" s="23" t="s">
        <v>135</v>
      </c>
      <c r="K7" s="21" t="s">
        <v>75</v>
      </c>
      <c r="L7" s="22" t="s">
        <v>76</v>
      </c>
      <c r="M7" s="23" t="s">
        <v>77</v>
      </c>
      <c r="N7" s="22" t="s">
        <v>76</v>
      </c>
      <c r="O7" s="21" t="s">
        <v>75</v>
      </c>
      <c r="P7" s="23" t="s">
        <v>135</v>
      </c>
    </row>
    <row r="8" spans="1:16" x14ac:dyDescent="0.35">
      <c r="A8" s="20" t="s">
        <v>79</v>
      </c>
      <c r="B8" s="24" t="s">
        <v>53</v>
      </c>
      <c r="C8" s="25" t="s">
        <v>80</v>
      </c>
      <c r="D8" s="23" t="s">
        <v>135</v>
      </c>
      <c r="E8" s="22" t="s">
        <v>76</v>
      </c>
      <c r="F8" s="25" t="s">
        <v>80</v>
      </c>
      <c r="G8" s="23" t="s">
        <v>128</v>
      </c>
      <c r="H8" s="24" t="s">
        <v>53</v>
      </c>
      <c r="I8" s="24" t="s">
        <v>53</v>
      </c>
      <c r="J8" s="23" t="s">
        <v>135</v>
      </c>
      <c r="K8" s="24" t="s">
        <v>53</v>
      </c>
      <c r="L8" s="25" t="s">
        <v>80</v>
      </c>
      <c r="M8" s="23" t="s">
        <v>81</v>
      </c>
      <c r="N8" s="25" t="s">
        <v>80</v>
      </c>
      <c r="O8" s="24" t="s">
        <v>53</v>
      </c>
      <c r="P8" s="23" t="s">
        <v>135</v>
      </c>
    </row>
    <row r="9" spans="1:16" x14ac:dyDescent="0.35">
      <c r="A9" s="20" t="s">
        <v>83</v>
      </c>
      <c r="B9" s="24" t="s">
        <v>53</v>
      </c>
      <c r="C9" s="25" t="s">
        <v>80</v>
      </c>
      <c r="D9" s="23" t="s">
        <v>135</v>
      </c>
      <c r="E9" s="22" t="s">
        <v>76</v>
      </c>
      <c r="F9" s="25" t="s">
        <v>80</v>
      </c>
      <c r="G9" s="23" t="s">
        <v>128</v>
      </c>
      <c r="H9" s="24" t="s">
        <v>53</v>
      </c>
      <c r="I9" s="24" t="s">
        <v>53</v>
      </c>
      <c r="J9" s="23" t="s">
        <v>135</v>
      </c>
      <c r="K9" s="24" t="s">
        <v>53</v>
      </c>
      <c r="L9" s="25" t="s">
        <v>80</v>
      </c>
      <c r="M9" s="23" t="s">
        <v>81</v>
      </c>
      <c r="N9" s="25" t="s">
        <v>80</v>
      </c>
      <c r="O9" s="24" t="s">
        <v>53</v>
      </c>
      <c r="P9" s="23" t="s">
        <v>135</v>
      </c>
    </row>
    <row r="10" spans="1:16" x14ac:dyDescent="0.35">
      <c r="A10" s="20" t="s">
        <v>84</v>
      </c>
      <c r="B10" s="24" t="s">
        <v>53</v>
      </c>
      <c r="C10" s="25" t="s">
        <v>80</v>
      </c>
      <c r="D10" s="23" t="s">
        <v>135</v>
      </c>
      <c r="E10" s="22" t="s">
        <v>76</v>
      </c>
      <c r="F10" s="25" t="s">
        <v>80</v>
      </c>
      <c r="G10" s="23" t="s">
        <v>128</v>
      </c>
      <c r="H10" s="24" t="s">
        <v>53</v>
      </c>
      <c r="I10" s="24" t="s">
        <v>53</v>
      </c>
      <c r="J10" s="23" t="s">
        <v>135</v>
      </c>
      <c r="K10" s="24" t="s">
        <v>53</v>
      </c>
      <c r="L10" s="25" t="s">
        <v>80</v>
      </c>
      <c r="M10" s="23" t="s">
        <v>81</v>
      </c>
      <c r="N10" s="25" t="s">
        <v>80</v>
      </c>
      <c r="O10" s="24" t="s">
        <v>53</v>
      </c>
      <c r="P10" s="23" t="s">
        <v>135</v>
      </c>
    </row>
    <row r="11" spans="1:16" x14ac:dyDescent="0.35">
      <c r="A11" s="20" t="s">
        <v>85</v>
      </c>
      <c r="B11" s="24" t="s">
        <v>53</v>
      </c>
      <c r="C11" s="25" t="s">
        <v>80</v>
      </c>
      <c r="D11" s="23" t="s">
        <v>135</v>
      </c>
      <c r="E11" s="22" t="s">
        <v>76</v>
      </c>
      <c r="F11" s="25" t="s">
        <v>80</v>
      </c>
      <c r="G11" s="23" t="s">
        <v>128</v>
      </c>
      <c r="H11" s="24" t="s">
        <v>53</v>
      </c>
      <c r="I11" s="24" t="s">
        <v>53</v>
      </c>
      <c r="J11" s="23" t="s">
        <v>135</v>
      </c>
      <c r="K11" s="24" t="s">
        <v>53</v>
      </c>
      <c r="L11" s="25" t="s">
        <v>80</v>
      </c>
      <c r="M11" s="23" t="s">
        <v>81</v>
      </c>
      <c r="N11" s="25" t="s">
        <v>80</v>
      </c>
      <c r="O11" s="24" t="s">
        <v>53</v>
      </c>
      <c r="P11" s="23" t="s">
        <v>135</v>
      </c>
    </row>
    <row r="12" spans="1:16" x14ac:dyDescent="0.35">
      <c r="A12" s="20" t="s">
        <v>86</v>
      </c>
      <c r="B12" s="24" t="s">
        <v>53</v>
      </c>
      <c r="C12" s="25" t="s">
        <v>80</v>
      </c>
      <c r="D12" s="23" t="s">
        <v>135</v>
      </c>
      <c r="E12" s="22" t="s">
        <v>76</v>
      </c>
      <c r="F12" s="25" t="s">
        <v>80</v>
      </c>
      <c r="G12" s="23" t="s">
        <v>128</v>
      </c>
      <c r="H12" s="24" t="s">
        <v>53</v>
      </c>
      <c r="I12" s="24" t="s">
        <v>53</v>
      </c>
      <c r="J12" s="23" t="s">
        <v>135</v>
      </c>
      <c r="K12" s="24" t="s">
        <v>53</v>
      </c>
      <c r="L12" s="25" t="s">
        <v>80</v>
      </c>
      <c r="M12" s="23" t="s">
        <v>81</v>
      </c>
      <c r="N12" s="25" t="s">
        <v>80</v>
      </c>
      <c r="O12" s="24" t="s">
        <v>53</v>
      </c>
      <c r="P12" s="23" t="s">
        <v>135</v>
      </c>
    </row>
    <row r="13" spans="1:16" x14ac:dyDescent="0.35">
      <c r="A13" s="20" t="s">
        <v>87</v>
      </c>
      <c r="B13" s="24" t="s">
        <v>53</v>
      </c>
      <c r="C13" s="25" t="s">
        <v>80</v>
      </c>
      <c r="D13" s="23" t="s">
        <v>135</v>
      </c>
      <c r="E13" s="22" t="s">
        <v>76</v>
      </c>
      <c r="F13" s="25" t="s">
        <v>80</v>
      </c>
      <c r="G13" s="23" t="s">
        <v>128</v>
      </c>
      <c r="H13" s="24" t="s">
        <v>53</v>
      </c>
      <c r="I13" s="24" t="s">
        <v>53</v>
      </c>
      <c r="J13" s="23" t="s">
        <v>135</v>
      </c>
      <c r="K13" s="24" t="s">
        <v>53</v>
      </c>
      <c r="L13" s="25" t="s">
        <v>80</v>
      </c>
      <c r="M13" s="23" t="s">
        <v>81</v>
      </c>
      <c r="N13" s="25" t="s">
        <v>80</v>
      </c>
      <c r="O13" s="24" t="s">
        <v>53</v>
      </c>
      <c r="P13" s="23" t="s">
        <v>135</v>
      </c>
    </row>
    <row r="14" spans="1:16" x14ac:dyDescent="0.35">
      <c r="A14" s="20" t="s">
        <v>88</v>
      </c>
      <c r="B14" s="24" t="s">
        <v>53</v>
      </c>
      <c r="C14" s="25" t="s">
        <v>80</v>
      </c>
      <c r="D14" s="23" t="s">
        <v>135</v>
      </c>
      <c r="E14" s="22" t="s">
        <v>76</v>
      </c>
      <c r="F14" s="25" t="s">
        <v>80</v>
      </c>
      <c r="G14" s="23" t="s">
        <v>128</v>
      </c>
      <c r="H14" s="24" t="s">
        <v>53</v>
      </c>
      <c r="I14" s="24" t="s">
        <v>53</v>
      </c>
      <c r="J14" s="23" t="s">
        <v>135</v>
      </c>
      <c r="K14" s="24" t="s">
        <v>53</v>
      </c>
      <c r="L14" s="25" t="s">
        <v>80</v>
      </c>
      <c r="M14" s="23" t="s">
        <v>81</v>
      </c>
      <c r="N14" s="25" t="s">
        <v>80</v>
      </c>
      <c r="O14" s="24" t="s">
        <v>53</v>
      </c>
      <c r="P14" s="23" t="s">
        <v>135</v>
      </c>
    </row>
    <row r="15" spans="1:16" x14ac:dyDescent="0.35">
      <c r="A15" s="20" t="s">
        <v>89</v>
      </c>
      <c r="B15" s="24" t="s">
        <v>53</v>
      </c>
      <c r="C15" s="25" t="s">
        <v>80</v>
      </c>
      <c r="D15" s="23" t="s">
        <v>135</v>
      </c>
      <c r="E15" s="22" t="s">
        <v>76</v>
      </c>
      <c r="F15" s="25" t="s">
        <v>80</v>
      </c>
      <c r="G15" s="23" t="s">
        <v>128</v>
      </c>
      <c r="H15" s="24" t="s">
        <v>53</v>
      </c>
      <c r="I15" s="24" t="s">
        <v>53</v>
      </c>
      <c r="J15" s="23" t="s">
        <v>135</v>
      </c>
      <c r="K15" s="24" t="s">
        <v>53</v>
      </c>
      <c r="L15" s="25" t="s">
        <v>80</v>
      </c>
      <c r="M15" s="23" t="s">
        <v>81</v>
      </c>
      <c r="N15" s="25" t="s">
        <v>80</v>
      </c>
      <c r="O15" s="24" t="s">
        <v>53</v>
      </c>
      <c r="P15" s="23" t="s">
        <v>135</v>
      </c>
    </row>
    <row r="16" spans="1:16" x14ac:dyDescent="0.35">
      <c r="A16" s="20" t="s">
        <v>90</v>
      </c>
      <c r="B16" s="26" t="s">
        <v>91</v>
      </c>
      <c r="C16" s="22" t="s">
        <v>76</v>
      </c>
      <c r="D16" s="23" t="s">
        <v>135</v>
      </c>
      <c r="E16" s="22" t="s">
        <v>76</v>
      </c>
      <c r="F16" s="22" t="s">
        <v>76</v>
      </c>
      <c r="G16" s="23" t="s">
        <v>105</v>
      </c>
      <c r="H16" s="26" t="s">
        <v>91</v>
      </c>
      <c r="I16" s="21" t="s">
        <v>93</v>
      </c>
      <c r="J16" s="23" t="s">
        <v>135</v>
      </c>
      <c r="K16" s="21" t="s">
        <v>93</v>
      </c>
      <c r="L16" s="22" t="s">
        <v>76</v>
      </c>
      <c r="M16" s="23" t="s">
        <v>77</v>
      </c>
      <c r="N16" s="27" t="s">
        <v>91</v>
      </c>
      <c r="O16" s="21" t="s">
        <v>93</v>
      </c>
      <c r="P16" s="23" t="s">
        <v>135</v>
      </c>
    </row>
    <row r="17" spans="1:16" ht="23" x14ac:dyDescent="0.35">
      <c r="A17" s="20" t="s">
        <v>95</v>
      </c>
      <c r="B17" s="24" t="s">
        <v>53</v>
      </c>
      <c r="C17" s="22" t="s">
        <v>76</v>
      </c>
      <c r="D17" s="23" t="s">
        <v>135</v>
      </c>
      <c r="E17" s="22" t="s">
        <v>76</v>
      </c>
      <c r="F17" s="22" t="s">
        <v>76</v>
      </c>
      <c r="G17" s="23" t="s">
        <v>105</v>
      </c>
      <c r="H17" s="24" t="s">
        <v>53</v>
      </c>
      <c r="I17" s="22" t="s">
        <v>76</v>
      </c>
      <c r="J17" s="23" t="s">
        <v>135</v>
      </c>
      <c r="K17" s="27" t="s">
        <v>91</v>
      </c>
      <c r="L17" s="22" t="s">
        <v>76</v>
      </c>
      <c r="M17" s="23" t="s">
        <v>122</v>
      </c>
      <c r="N17" s="25" t="s">
        <v>80</v>
      </c>
      <c r="O17" s="22" t="s">
        <v>76</v>
      </c>
      <c r="P17" s="23" t="s">
        <v>135</v>
      </c>
    </row>
    <row r="18" spans="1:16" x14ac:dyDescent="0.35">
      <c r="A18" s="20" t="s">
        <v>96</v>
      </c>
      <c r="B18" s="24" t="s">
        <v>53</v>
      </c>
      <c r="C18" s="22" t="s">
        <v>76</v>
      </c>
      <c r="D18" s="23" t="s">
        <v>77</v>
      </c>
      <c r="E18" s="22" t="s">
        <v>76</v>
      </c>
      <c r="F18" s="22" t="s">
        <v>76</v>
      </c>
      <c r="G18" s="23" t="s">
        <v>105</v>
      </c>
      <c r="H18" s="24" t="s">
        <v>53</v>
      </c>
      <c r="I18" s="22" t="s">
        <v>76</v>
      </c>
      <c r="J18" s="23" t="s">
        <v>77</v>
      </c>
      <c r="K18" s="25" t="s">
        <v>80</v>
      </c>
      <c r="L18" s="22" t="s">
        <v>76</v>
      </c>
      <c r="M18" s="23" t="s">
        <v>123</v>
      </c>
      <c r="N18" s="25" t="s">
        <v>80</v>
      </c>
      <c r="O18" s="22" t="s">
        <v>76</v>
      </c>
      <c r="P18" s="23" t="s">
        <v>123</v>
      </c>
    </row>
    <row r="19" spans="1:16" x14ac:dyDescent="0.35">
      <c r="A19" s="20" t="s">
        <v>97</v>
      </c>
      <c r="B19" s="24" t="s">
        <v>53</v>
      </c>
      <c r="C19" s="22" t="s">
        <v>76</v>
      </c>
      <c r="D19" s="23" t="s">
        <v>77</v>
      </c>
      <c r="E19" s="22" t="s">
        <v>76</v>
      </c>
      <c r="F19" s="22" t="s">
        <v>76</v>
      </c>
      <c r="G19" s="23" t="s">
        <v>105</v>
      </c>
      <c r="H19" s="24" t="s">
        <v>53</v>
      </c>
      <c r="I19" s="22" t="s">
        <v>76</v>
      </c>
      <c r="J19" s="23" t="s">
        <v>77</v>
      </c>
      <c r="K19" s="25" t="s">
        <v>80</v>
      </c>
      <c r="L19" s="22" t="s">
        <v>76</v>
      </c>
      <c r="M19" s="23" t="s">
        <v>123</v>
      </c>
      <c r="N19" s="25" t="s">
        <v>80</v>
      </c>
      <c r="O19" s="22" t="s">
        <v>76</v>
      </c>
      <c r="P19" s="23" t="s">
        <v>123</v>
      </c>
    </row>
    <row r="20" spans="1:16" x14ac:dyDescent="0.35">
      <c r="A20" s="20" t="s">
        <v>98</v>
      </c>
      <c r="B20" s="24" t="s">
        <v>53</v>
      </c>
      <c r="C20" s="22" t="s">
        <v>76</v>
      </c>
      <c r="D20" s="23" t="s">
        <v>77</v>
      </c>
      <c r="E20" s="22" t="s">
        <v>76</v>
      </c>
      <c r="F20" s="22" t="s">
        <v>76</v>
      </c>
      <c r="G20" s="23" t="s">
        <v>105</v>
      </c>
      <c r="H20" s="24" t="s">
        <v>53</v>
      </c>
      <c r="I20" s="22" t="s">
        <v>76</v>
      </c>
      <c r="J20" s="23" t="s">
        <v>77</v>
      </c>
      <c r="K20" s="25" t="s">
        <v>80</v>
      </c>
      <c r="L20" s="22" t="s">
        <v>76</v>
      </c>
      <c r="M20" s="23" t="s">
        <v>123</v>
      </c>
      <c r="N20" s="25" t="s">
        <v>80</v>
      </c>
      <c r="O20" s="22" t="s">
        <v>76</v>
      </c>
      <c r="P20" s="23" t="s">
        <v>123</v>
      </c>
    </row>
    <row r="21" spans="1:16" x14ac:dyDescent="0.35">
      <c r="A21" s="20" t="s">
        <v>99</v>
      </c>
      <c r="B21" s="24" t="s">
        <v>53</v>
      </c>
      <c r="C21" s="22" t="s">
        <v>76</v>
      </c>
      <c r="D21" s="23" t="s">
        <v>77</v>
      </c>
      <c r="E21" s="22" t="s">
        <v>76</v>
      </c>
      <c r="F21" s="22" t="s">
        <v>76</v>
      </c>
      <c r="G21" s="23" t="s">
        <v>105</v>
      </c>
      <c r="H21" s="24" t="s">
        <v>53</v>
      </c>
      <c r="I21" s="22" t="s">
        <v>76</v>
      </c>
      <c r="J21" s="23" t="s">
        <v>77</v>
      </c>
      <c r="K21" s="25" t="s">
        <v>80</v>
      </c>
      <c r="L21" s="22" t="s">
        <v>76</v>
      </c>
      <c r="M21" s="23" t="s">
        <v>123</v>
      </c>
      <c r="N21" s="25" t="s">
        <v>80</v>
      </c>
      <c r="O21" s="22" t="s">
        <v>76</v>
      </c>
      <c r="P21" s="23" t="s">
        <v>123</v>
      </c>
    </row>
    <row r="22" spans="1:16" x14ac:dyDescent="0.35">
      <c r="A22" s="20" t="s">
        <v>100</v>
      </c>
      <c r="B22" s="24" t="s">
        <v>53</v>
      </c>
      <c r="C22" s="22" t="s">
        <v>76</v>
      </c>
      <c r="D22" s="23" t="s">
        <v>77</v>
      </c>
      <c r="E22" s="22" t="s">
        <v>76</v>
      </c>
      <c r="F22" s="22" t="s">
        <v>76</v>
      </c>
      <c r="G22" s="23" t="s">
        <v>105</v>
      </c>
      <c r="H22" s="24" t="s">
        <v>53</v>
      </c>
      <c r="I22" s="22" t="s">
        <v>76</v>
      </c>
      <c r="J22" s="23" t="s">
        <v>77</v>
      </c>
      <c r="K22" s="25" t="s">
        <v>80</v>
      </c>
      <c r="L22" s="22" t="s">
        <v>76</v>
      </c>
      <c r="M22" s="23" t="s">
        <v>123</v>
      </c>
      <c r="N22" s="25" t="s">
        <v>80</v>
      </c>
      <c r="O22" s="22" t="s">
        <v>76</v>
      </c>
      <c r="P22" s="23" t="s">
        <v>123</v>
      </c>
    </row>
    <row r="23" spans="1:16" x14ac:dyDescent="0.35">
      <c r="A23" s="20" t="s">
        <v>101</v>
      </c>
      <c r="B23" s="21" t="s">
        <v>93</v>
      </c>
      <c r="C23" s="22" t="s">
        <v>76</v>
      </c>
      <c r="D23" s="23" t="s">
        <v>77</v>
      </c>
      <c r="E23" s="22" t="s">
        <v>76</v>
      </c>
      <c r="F23" s="22" t="s">
        <v>76</v>
      </c>
      <c r="G23" s="23" t="s">
        <v>105</v>
      </c>
      <c r="H23" s="21" t="s">
        <v>93</v>
      </c>
      <c r="I23" s="22" t="s">
        <v>76</v>
      </c>
      <c r="J23" s="23" t="s">
        <v>77</v>
      </c>
      <c r="K23" s="25" t="s">
        <v>80</v>
      </c>
      <c r="L23" s="22" t="s">
        <v>76</v>
      </c>
      <c r="M23" s="23" t="s">
        <v>123</v>
      </c>
      <c r="N23" s="22" t="s">
        <v>76</v>
      </c>
      <c r="O23" s="22" t="s">
        <v>76</v>
      </c>
      <c r="P23" s="23" t="s">
        <v>105</v>
      </c>
    </row>
    <row r="24" spans="1:16" x14ac:dyDescent="0.35">
      <c r="A24" s="20" t="s">
        <v>102</v>
      </c>
      <c r="B24" s="22" t="s">
        <v>76</v>
      </c>
      <c r="C24" s="22" t="s">
        <v>76</v>
      </c>
      <c r="D24" s="23" t="s">
        <v>105</v>
      </c>
      <c r="E24" s="22" t="s">
        <v>76</v>
      </c>
      <c r="F24" s="22" t="s">
        <v>76</v>
      </c>
      <c r="G24" s="23" t="s">
        <v>105</v>
      </c>
      <c r="H24" s="22" t="s">
        <v>76</v>
      </c>
      <c r="I24" s="22" t="s">
        <v>76</v>
      </c>
      <c r="J24" s="23" t="s">
        <v>105</v>
      </c>
      <c r="K24" s="22" t="s">
        <v>76</v>
      </c>
      <c r="L24" s="22" t="s">
        <v>76</v>
      </c>
      <c r="M24" s="23" t="s">
        <v>105</v>
      </c>
      <c r="N24" s="22" t="s">
        <v>76</v>
      </c>
      <c r="O24" s="22" t="s">
        <v>76</v>
      </c>
      <c r="P24" s="23" t="s">
        <v>105</v>
      </c>
    </row>
    <row r="25" spans="1:16" x14ac:dyDescent="0.35">
      <c r="A25" s="20" t="s">
        <v>103</v>
      </c>
      <c r="B25" s="22" t="s">
        <v>76</v>
      </c>
      <c r="C25" s="22" t="s">
        <v>76</v>
      </c>
      <c r="D25" s="23" t="s">
        <v>105</v>
      </c>
      <c r="E25" s="22" t="s">
        <v>76</v>
      </c>
      <c r="F25" s="22" t="s">
        <v>76</v>
      </c>
      <c r="G25" s="23" t="s">
        <v>105</v>
      </c>
      <c r="H25" s="22" t="s">
        <v>76</v>
      </c>
      <c r="I25" s="22" t="s">
        <v>76</v>
      </c>
      <c r="J25" s="23" t="s">
        <v>105</v>
      </c>
      <c r="K25" s="22" t="s">
        <v>76</v>
      </c>
      <c r="L25" s="22" t="s">
        <v>76</v>
      </c>
      <c r="M25" s="23" t="s">
        <v>105</v>
      </c>
      <c r="N25" s="22" t="s">
        <v>76</v>
      </c>
      <c r="O25" s="22" t="s">
        <v>76</v>
      </c>
      <c r="P25" s="23" t="s">
        <v>105</v>
      </c>
    </row>
    <row r="26" spans="1:16" x14ac:dyDescent="0.35">
      <c r="A26" s="20" t="s">
        <v>104</v>
      </c>
      <c r="B26" s="22" t="s">
        <v>76</v>
      </c>
      <c r="C26" s="22" t="s">
        <v>76</v>
      </c>
      <c r="D26" s="23" t="s">
        <v>105</v>
      </c>
      <c r="E26" s="22" t="s">
        <v>76</v>
      </c>
      <c r="F26" s="22" t="s">
        <v>76</v>
      </c>
      <c r="G26" s="23" t="s">
        <v>105</v>
      </c>
      <c r="H26" s="22" t="s">
        <v>76</v>
      </c>
      <c r="I26" s="22" t="s">
        <v>76</v>
      </c>
      <c r="J26" s="23" t="s">
        <v>105</v>
      </c>
      <c r="K26" s="22" t="s">
        <v>76</v>
      </c>
      <c r="L26" s="22" t="s">
        <v>76</v>
      </c>
      <c r="M26" s="23" t="s">
        <v>105</v>
      </c>
      <c r="N26" s="22" t="s">
        <v>76</v>
      </c>
      <c r="O26" s="22" t="s">
        <v>76</v>
      </c>
      <c r="P26" s="23" t="s">
        <v>105</v>
      </c>
    </row>
    <row r="27" spans="1:16" x14ac:dyDescent="0.35">
      <c r="A27" s="20" t="s">
        <v>106</v>
      </c>
      <c r="B27" s="22" t="s">
        <v>76</v>
      </c>
      <c r="C27" s="22" t="s">
        <v>76</v>
      </c>
      <c r="D27" s="23" t="s">
        <v>105</v>
      </c>
      <c r="E27" s="22" t="s">
        <v>76</v>
      </c>
      <c r="F27" s="22" t="s">
        <v>76</v>
      </c>
      <c r="G27" s="23" t="s">
        <v>105</v>
      </c>
      <c r="H27" s="22" t="s">
        <v>76</v>
      </c>
      <c r="I27" s="22" t="s">
        <v>76</v>
      </c>
      <c r="J27" s="23" t="s">
        <v>105</v>
      </c>
      <c r="K27" s="22" t="s">
        <v>76</v>
      </c>
      <c r="L27" s="22" t="s">
        <v>76</v>
      </c>
      <c r="M27" s="23" t="s">
        <v>105</v>
      </c>
      <c r="N27" s="22" t="s">
        <v>76</v>
      </c>
      <c r="O27" s="22" t="s">
        <v>76</v>
      </c>
      <c r="P27" s="23" t="s">
        <v>105</v>
      </c>
    </row>
    <row r="29" spans="1:16" x14ac:dyDescent="0.35">
      <c r="A29" s="45" t="s">
        <v>107</v>
      </c>
      <c r="B29" s="40"/>
      <c r="C29" s="40"/>
      <c r="D29" s="40"/>
      <c r="E29" s="40"/>
      <c r="F29" s="40"/>
      <c r="G29" s="40"/>
      <c r="H29" s="40"/>
    </row>
    <row r="30" spans="1:16" ht="26" x14ac:dyDescent="0.35">
      <c r="A30" s="28"/>
      <c r="B30" s="28" t="s">
        <v>108</v>
      </c>
      <c r="C30" s="28" t="s">
        <v>109</v>
      </c>
      <c r="D30" s="28" t="s">
        <v>110</v>
      </c>
      <c r="E30" s="28" t="s">
        <v>111</v>
      </c>
      <c r="F30" s="28" t="s">
        <v>112</v>
      </c>
      <c r="G30" s="28" t="s">
        <v>113</v>
      </c>
      <c r="H30" s="28" t="s">
        <v>114</v>
      </c>
    </row>
    <row r="31" spans="1:16" x14ac:dyDescent="0.35">
      <c r="A31" s="29" t="s">
        <v>71</v>
      </c>
      <c r="B31" s="30">
        <v>28</v>
      </c>
      <c r="C31" s="31">
        <v>96000</v>
      </c>
      <c r="D31" s="32">
        <f>B31/40</f>
        <v>0.7</v>
      </c>
      <c r="E31" s="31">
        <f>C31*D31/12</f>
        <v>5600</v>
      </c>
      <c r="F31" s="31">
        <f>C31*D31</f>
        <v>67200</v>
      </c>
      <c r="G31" s="31">
        <f>IF(E31&gt;=8000,E31*0.6,IF(E31&gt;=7000,E31*0.61,IF(E31&gt;=6000,E31*0.62,IF(E31&gt;=5000,E31*0.64,IF(E31&gt;=4000,E31*0.66,IF(E31&gt;=3000,E31*0.68,E31*0.7))))))</f>
        <v>3584</v>
      </c>
      <c r="H31" s="31">
        <f>G31*12</f>
        <v>43008</v>
      </c>
    </row>
    <row r="32" spans="1:16" ht="26" x14ac:dyDescent="0.35">
      <c r="A32" s="29" t="s">
        <v>115</v>
      </c>
      <c r="B32" s="30">
        <v>20</v>
      </c>
      <c r="C32" s="31">
        <v>84000</v>
      </c>
      <c r="D32" s="32">
        <f>B32/40</f>
        <v>0.5</v>
      </c>
      <c r="E32" s="31">
        <f>C32*D32/12</f>
        <v>3500</v>
      </c>
      <c r="F32" s="31">
        <f>C32*D32</f>
        <v>42000</v>
      </c>
      <c r="G32" s="31">
        <f>IF(E32&gt;=8000,E32*0.6,IF(E32&gt;=7000,E32*0.61,IF(E32&gt;=6000,E32*0.62,IF(E32&gt;=5000,E32*0.64,IF(E32&gt;=4000,E32*0.66,IF(E32&gt;=3000,E32*0.68,E32*0.7))))))</f>
        <v>2380</v>
      </c>
      <c r="H32" s="31">
        <f>G32*12</f>
        <v>28560</v>
      </c>
    </row>
    <row r="33" spans="1:8" ht="39" x14ac:dyDescent="0.35">
      <c r="A33" s="33" t="s">
        <v>116</v>
      </c>
      <c r="B33" s="34">
        <f>B31+B32</f>
        <v>48</v>
      </c>
      <c r="C33" s="33"/>
      <c r="D33" s="33"/>
      <c r="E33" s="35">
        <f>E31+E32</f>
        <v>9100</v>
      </c>
      <c r="F33" s="35">
        <f>F31+F32</f>
        <v>109200</v>
      </c>
      <c r="G33" s="35">
        <f>G31+G32</f>
        <v>5964</v>
      </c>
      <c r="H33" s="35">
        <f>H31+H32</f>
        <v>71568</v>
      </c>
    </row>
    <row r="35" spans="1:8" x14ac:dyDescent="0.35">
      <c r="A35" s="6" t="s">
        <v>117</v>
      </c>
      <c r="B35" s="36">
        <f>F33*0.7</f>
        <v>76440</v>
      </c>
    </row>
    <row r="36" spans="1:8" x14ac:dyDescent="0.35">
      <c r="A36" s="6" t="s">
        <v>145</v>
      </c>
      <c r="B36" s="38">
        <v>148</v>
      </c>
    </row>
    <row r="37" spans="1:8" x14ac:dyDescent="0.35">
      <c r="A37" s="6" t="s">
        <v>137</v>
      </c>
      <c r="B37" s="37">
        <f>G33-B36</f>
        <v>5816</v>
      </c>
    </row>
    <row r="39" spans="1:8" x14ac:dyDescent="0.35">
      <c r="A39" s="39" t="s">
        <v>119</v>
      </c>
      <c r="B39" s="40"/>
      <c r="C39" s="40"/>
      <c r="D39" s="40"/>
      <c r="E39" s="40"/>
      <c r="F39" s="40"/>
      <c r="G39" s="40"/>
      <c r="H39" s="40"/>
    </row>
    <row r="40" spans="1:8" x14ac:dyDescent="0.35">
      <c r="A40" s="8" t="s">
        <v>146</v>
      </c>
    </row>
    <row r="43" spans="1:8" x14ac:dyDescent="0.35">
      <c r="A43" s="6" t="s">
        <v>52</v>
      </c>
    </row>
    <row r="44" spans="1:8" x14ac:dyDescent="0.35">
      <c r="A44" s="7"/>
      <c r="B44" s="39" t="s">
        <v>53</v>
      </c>
      <c r="C44" s="40"/>
      <c r="D44" s="40"/>
      <c r="E44" s="40"/>
    </row>
    <row r="45" spans="1:8" x14ac:dyDescent="0.35">
      <c r="A45" s="9"/>
      <c r="B45" s="39" t="s">
        <v>54</v>
      </c>
      <c r="C45" s="40"/>
      <c r="D45" s="40"/>
      <c r="E45" s="40"/>
    </row>
    <row r="46" spans="1:8" x14ac:dyDescent="0.35">
      <c r="A46" s="10"/>
      <c r="B46" s="39" t="s">
        <v>55</v>
      </c>
      <c r="C46" s="40"/>
      <c r="D46" s="40"/>
      <c r="E46" s="40"/>
    </row>
    <row r="47" spans="1:8" x14ac:dyDescent="0.35">
      <c r="A47" s="11"/>
      <c r="B47" s="39" t="s">
        <v>56</v>
      </c>
      <c r="C47" s="40"/>
      <c r="D47" s="40"/>
      <c r="E47" s="40"/>
    </row>
    <row r="48" spans="1:8" x14ac:dyDescent="0.35">
      <c r="A48" s="12"/>
      <c r="B48" s="39" t="s">
        <v>57</v>
      </c>
      <c r="C48" s="40"/>
      <c r="D48" s="40"/>
      <c r="E48" s="40"/>
    </row>
    <row r="49" spans="1:5" x14ac:dyDescent="0.35">
      <c r="A49" s="13"/>
      <c r="B49" s="39" t="s">
        <v>58</v>
      </c>
      <c r="C49" s="40"/>
      <c r="D49" s="40"/>
      <c r="E49" s="40"/>
    </row>
    <row r="50" spans="1:5" x14ac:dyDescent="0.35">
      <c r="A50" s="14"/>
      <c r="B50" s="39" t="s">
        <v>59</v>
      </c>
      <c r="C50" s="40"/>
      <c r="D50" s="40"/>
      <c r="E50" s="40"/>
    </row>
    <row r="51" spans="1:5" x14ac:dyDescent="0.35">
      <c r="A51" s="15"/>
      <c r="B51" s="39" t="s">
        <v>60</v>
      </c>
      <c r="C51" s="40"/>
      <c r="D51" s="40"/>
      <c r="E51" s="40"/>
    </row>
    <row r="52" spans="1:5" x14ac:dyDescent="0.35">
      <c r="A52" s="16"/>
      <c r="B52" s="39" t="s">
        <v>61</v>
      </c>
      <c r="C52" s="40"/>
      <c r="D52" s="40"/>
      <c r="E52" s="40"/>
    </row>
  </sheetData>
  <mergeCells count="19">
    <mergeCell ref="A1:P1"/>
    <mergeCell ref="H5:J5"/>
    <mergeCell ref="B52:E52"/>
    <mergeCell ref="B48:E48"/>
    <mergeCell ref="A29:H29"/>
    <mergeCell ref="E5:G5"/>
    <mergeCell ref="K5:M5"/>
    <mergeCell ref="B44:E44"/>
    <mergeCell ref="A2:P2"/>
    <mergeCell ref="A39:H39"/>
    <mergeCell ref="B49:E49"/>
    <mergeCell ref="N5:P5"/>
    <mergeCell ref="A4:P4"/>
    <mergeCell ref="B51:E51"/>
    <mergeCell ref="B45:E45"/>
    <mergeCell ref="B50:E50"/>
    <mergeCell ref="B47:E47"/>
    <mergeCell ref="B46:E46"/>
    <mergeCell ref="B5:D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2"/>
  <sheetViews>
    <sheetView workbookViewId="0"/>
  </sheetViews>
  <sheetFormatPr baseColWidth="10" defaultColWidth="8.7265625" defaultRowHeight="14.5" x14ac:dyDescent="0.35"/>
  <cols>
    <col min="1" max="1" width="8" customWidth="1"/>
    <col min="2" max="16" width="11" customWidth="1"/>
  </cols>
  <sheetData>
    <row r="1" spans="1:16" x14ac:dyDescent="0.35">
      <c r="A1" s="44" t="s">
        <v>147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35">
      <c r="A2" s="39" t="s">
        <v>148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16" x14ac:dyDescent="0.35">
      <c r="A4" s="43" t="s">
        <v>64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18" x14ac:dyDescent="0.35">
      <c r="A5" s="17" t="s">
        <v>65</v>
      </c>
      <c r="B5" s="42" t="s">
        <v>66</v>
      </c>
      <c r="C5" s="40"/>
      <c r="D5" s="40"/>
      <c r="E5" s="42" t="s">
        <v>67</v>
      </c>
      <c r="F5" s="40"/>
      <c r="G5" s="40"/>
      <c r="H5" s="42" t="s">
        <v>68</v>
      </c>
      <c r="I5" s="40"/>
      <c r="J5" s="40"/>
      <c r="K5" s="42" t="s">
        <v>69</v>
      </c>
      <c r="L5" s="40"/>
      <c r="M5" s="40"/>
      <c r="N5" s="42" t="s">
        <v>70</v>
      </c>
      <c r="O5" s="40"/>
      <c r="P5" s="40"/>
    </row>
    <row r="6" spans="1:16" x14ac:dyDescent="0.35">
      <c r="A6" s="18"/>
      <c r="B6" s="19" t="s">
        <v>71</v>
      </c>
      <c r="C6" s="19" t="s">
        <v>72</v>
      </c>
      <c r="D6" s="19" t="s">
        <v>73</v>
      </c>
      <c r="E6" s="19" t="s">
        <v>71</v>
      </c>
      <c r="F6" s="19" t="s">
        <v>72</v>
      </c>
      <c r="G6" s="19" t="s">
        <v>73</v>
      </c>
      <c r="H6" s="19" t="s">
        <v>71</v>
      </c>
      <c r="I6" s="19" t="s">
        <v>72</v>
      </c>
      <c r="J6" s="19" t="s">
        <v>73</v>
      </c>
      <c r="K6" s="19" t="s">
        <v>71</v>
      </c>
      <c r="L6" s="19" t="s">
        <v>72</v>
      </c>
      <c r="M6" s="19" t="s">
        <v>73</v>
      </c>
      <c r="N6" s="19" t="s">
        <v>71</v>
      </c>
      <c r="O6" s="19" t="s">
        <v>72</v>
      </c>
      <c r="P6" s="19" t="s">
        <v>73</v>
      </c>
    </row>
    <row r="7" spans="1:16" x14ac:dyDescent="0.35">
      <c r="A7" s="20" t="s">
        <v>74</v>
      </c>
      <c r="B7" s="21" t="s">
        <v>75</v>
      </c>
      <c r="C7" s="21" t="s">
        <v>75</v>
      </c>
      <c r="D7" s="23" t="s">
        <v>135</v>
      </c>
      <c r="E7" s="22" t="s">
        <v>76</v>
      </c>
      <c r="F7" s="22" t="s">
        <v>76</v>
      </c>
      <c r="G7" s="23" t="s">
        <v>105</v>
      </c>
      <c r="H7" s="21" t="s">
        <v>75</v>
      </c>
      <c r="I7" s="21" t="s">
        <v>75</v>
      </c>
      <c r="J7" s="23" t="s">
        <v>135</v>
      </c>
      <c r="K7" s="22" t="s">
        <v>76</v>
      </c>
      <c r="L7" s="22" t="s">
        <v>76</v>
      </c>
      <c r="M7" s="23" t="s">
        <v>105</v>
      </c>
      <c r="N7" s="22" t="s">
        <v>76</v>
      </c>
      <c r="O7" s="22" t="s">
        <v>76</v>
      </c>
      <c r="P7" s="23" t="s">
        <v>105</v>
      </c>
    </row>
    <row r="8" spans="1:16" x14ac:dyDescent="0.35">
      <c r="A8" s="20" t="s">
        <v>79</v>
      </c>
      <c r="B8" s="24" t="s">
        <v>53</v>
      </c>
      <c r="C8" s="24" t="s">
        <v>53</v>
      </c>
      <c r="D8" s="23" t="s">
        <v>135</v>
      </c>
      <c r="E8" s="22" t="s">
        <v>76</v>
      </c>
      <c r="F8" s="25" t="s">
        <v>80</v>
      </c>
      <c r="G8" s="23" t="s">
        <v>128</v>
      </c>
      <c r="H8" s="24" t="s">
        <v>53</v>
      </c>
      <c r="I8" s="24" t="s">
        <v>53</v>
      </c>
      <c r="J8" s="23" t="s">
        <v>135</v>
      </c>
      <c r="K8" s="22" t="s">
        <v>76</v>
      </c>
      <c r="L8" s="25" t="s">
        <v>80</v>
      </c>
      <c r="M8" s="23" t="s">
        <v>128</v>
      </c>
      <c r="N8" s="25" t="s">
        <v>80</v>
      </c>
      <c r="O8" s="25" t="s">
        <v>80</v>
      </c>
      <c r="P8" s="23" t="s">
        <v>131</v>
      </c>
    </row>
    <row r="9" spans="1:16" x14ac:dyDescent="0.35">
      <c r="A9" s="20" t="s">
        <v>83</v>
      </c>
      <c r="B9" s="24" t="s">
        <v>53</v>
      </c>
      <c r="C9" s="24" t="s">
        <v>53</v>
      </c>
      <c r="D9" s="23" t="s">
        <v>135</v>
      </c>
      <c r="E9" s="22" t="s">
        <v>76</v>
      </c>
      <c r="F9" s="25" t="s">
        <v>80</v>
      </c>
      <c r="G9" s="23" t="s">
        <v>128</v>
      </c>
      <c r="H9" s="24" t="s">
        <v>53</v>
      </c>
      <c r="I9" s="24" t="s">
        <v>53</v>
      </c>
      <c r="J9" s="23" t="s">
        <v>135</v>
      </c>
      <c r="K9" s="22" t="s">
        <v>76</v>
      </c>
      <c r="L9" s="25" t="s">
        <v>80</v>
      </c>
      <c r="M9" s="23" t="s">
        <v>128</v>
      </c>
      <c r="N9" s="25" t="s">
        <v>80</v>
      </c>
      <c r="O9" s="25" t="s">
        <v>80</v>
      </c>
      <c r="P9" s="23" t="s">
        <v>131</v>
      </c>
    </row>
    <row r="10" spans="1:16" x14ac:dyDescent="0.35">
      <c r="A10" s="20" t="s">
        <v>84</v>
      </c>
      <c r="B10" s="24" t="s">
        <v>53</v>
      </c>
      <c r="C10" s="24" t="s">
        <v>53</v>
      </c>
      <c r="D10" s="23" t="s">
        <v>135</v>
      </c>
      <c r="E10" s="22" t="s">
        <v>76</v>
      </c>
      <c r="F10" s="25" t="s">
        <v>80</v>
      </c>
      <c r="G10" s="23" t="s">
        <v>128</v>
      </c>
      <c r="H10" s="24" t="s">
        <v>53</v>
      </c>
      <c r="I10" s="24" t="s">
        <v>53</v>
      </c>
      <c r="J10" s="23" t="s">
        <v>135</v>
      </c>
      <c r="K10" s="22" t="s">
        <v>76</v>
      </c>
      <c r="L10" s="25" t="s">
        <v>80</v>
      </c>
      <c r="M10" s="23" t="s">
        <v>128</v>
      </c>
      <c r="N10" s="25" t="s">
        <v>80</v>
      </c>
      <c r="O10" s="25" t="s">
        <v>80</v>
      </c>
      <c r="P10" s="23" t="s">
        <v>131</v>
      </c>
    </row>
    <row r="11" spans="1:16" x14ac:dyDescent="0.35">
      <c r="A11" s="20" t="s">
        <v>85</v>
      </c>
      <c r="B11" s="24" t="s">
        <v>53</v>
      </c>
      <c r="C11" s="24" t="s">
        <v>53</v>
      </c>
      <c r="D11" s="23" t="s">
        <v>135</v>
      </c>
      <c r="E11" s="22" t="s">
        <v>76</v>
      </c>
      <c r="F11" s="25" t="s">
        <v>80</v>
      </c>
      <c r="G11" s="23" t="s">
        <v>128</v>
      </c>
      <c r="H11" s="24" t="s">
        <v>53</v>
      </c>
      <c r="I11" s="24" t="s">
        <v>53</v>
      </c>
      <c r="J11" s="23" t="s">
        <v>135</v>
      </c>
      <c r="K11" s="22" t="s">
        <v>76</v>
      </c>
      <c r="L11" s="25" t="s">
        <v>80</v>
      </c>
      <c r="M11" s="23" t="s">
        <v>128</v>
      </c>
      <c r="N11" s="25" t="s">
        <v>80</v>
      </c>
      <c r="O11" s="25" t="s">
        <v>80</v>
      </c>
      <c r="P11" s="23" t="s">
        <v>131</v>
      </c>
    </row>
    <row r="12" spans="1:16" x14ac:dyDescent="0.35">
      <c r="A12" s="20" t="s">
        <v>86</v>
      </c>
      <c r="B12" s="24" t="s">
        <v>53</v>
      </c>
      <c r="C12" s="24" t="s">
        <v>53</v>
      </c>
      <c r="D12" s="23" t="s">
        <v>135</v>
      </c>
      <c r="E12" s="22" t="s">
        <v>76</v>
      </c>
      <c r="F12" s="25" t="s">
        <v>80</v>
      </c>
      <c r="G12" s="23" t="s">
        <v>128</v>
      </c>
      <c r="H12" s="24" t="s">
        <v>53</v>
      </c>
      <c r="I12" s="24" t="s">
        <v>53</v>
      </c>
      <c r="J12" s="23" t="s">
        <v>135</v>
      </c>
      <c r="K12" s="22" t="s">
        <v>76</v>
      </c>
      <c r="L12" s="25" t="s">
        <v>80</v>
      </c>
      <c r="M12" s="23" t="s">
        <v>128</v>
      </c>
      <c r="N12" s="25" t="s">
        <v>80</v>
      </c>
      <c r="O12" s="25" t="s">
        <v>80</v>
      </c>
      <c r="P12" s="23" t="s">
        <v>131</v>
      </c>
    </row>
    <row r="13" spans="1:16" x14ac:dyDescent="0.35">
      <c r="A13" s="20" t="s">
        <v>87</v>
      </c>
      <c r="B13" s="24" t="s">
        <v>53</v>
      </c>
      <c r="C13" s="24" t="s">
        <v>53</v>
      </c>
      <c r="D13" s="23" t="s">
        <v>135</v>
      </c>
      <c r="E13" s="22" t="s">
        <v>76</v>
      </c>
      <c r="F13" s="25" t="s">
        <v>80</v>
      </c>
      <c r="G13" s="23" t="s">
        <v>128</v>
      </c>
      <c r="H13" s="24" t="s">
        <v>53</v>
      </c>
      <c r="I13" s="24" t="s">
        <v>53</v>
      </c>
      <c r="J13" s="23" t="s">
        <v>135</v>
      </c>
      <c r="K13" s="22" t="s">
        <v>76</v>
      </c>
      <c r="L13" s="25" t="s">
        <v>80</v>
      </c>
      <c r="M13" s="23" t="s">
        <v>128</v>
      </c>
      <c r="N13" s="25" t="s">
        <v>80</v>
      </c>
      <c r="O13" s="25" t="s">
        <v>80</v>
      </c>
      <c r="P13" s="23" t="s">
        <v>131</v>
      </c>
    </row>
    <row r="14" spans="1:16" x14ac:dyDescent="0.35">
      <c r="A14" s="20" t="s">
        <v>88</v>
      </c>
      <c r="B14" s="24" t="s">
        <v>53</v>
      </c>
      <c r="C14" s="24" t="s">
        <v>53</v>
      </c>
      <c r="D14" s="23" t="s">
        <v>135</v>
      </c>
      <c r="E14" s="22" t="s">
        <v>76</v>
      </c>
      <c r="F14" s="25" t="s">
        <v>80</v>
      </c>
      <c r="G14" s="23" t="s">
        <v>128</v>
      </c>
      <c r="H14" s="24" t="s">
        <v>53</v>
      </c>
      <c r="I14" s="24" t="s">
        <v>53</v>
      </c>
      <c r="J14" s="23" t="s">
        <v>135</v>
      </c>
      <c r="K14" s="22" t="s">
        <v>76</v>
      </c>
      <c r="L14" s="25" t="s">
        <v>80</v>
      </c>
      <c r="M14" s="23" t="s">
        <v>128</v>
      </c>
      <c r="N14" s="25" t="s">
        <v>80</v>
      </c>
      <c r="O14" s="25" t="s">
        <v>80</v>
      </c>
      <c r="P14" s="23" t="s">
        <v>131</v>
      </c>
    </row>
    <row r="15" spans="1:16" x14ac:dyDescent="0.35">
      <c r="A15" s="20" t="s">
        <v>89</v>
      </c>
      <c r="B15" s="24" t="s">
        <v>53</v>
      </c>
      <c r="C15" s="24" t="s">
        <v>53</v>
      </c>
      <c r="D15" s="23" t="s">
        <v>135</v>
      </c>
      <c r="E15" s="22" t="s">
        <v>76</v>
      </c>
      <c r="F15" s="25" t="s">
        <v>80</v>
      </c>
      <c r="G15" s="23" t="s">
        <v>128</v>
      </c>
      <c r="H15" s="24" t="s">
        <v>53</v>
      </c>
      <c r="I15" s="24" t="s">
        <v>53</v>
      </c>
      <c r="J15" s="23" t="s">
        <v>135</v>
      </c>
      <c r="K15" s="22" t="s">
        <v>76</v>
      </c>
      <c r="L15" s="25" t="s">
        <v>80</v>
      </c>
      <c r="M15" s="23" t="s">
        <v>128</v>
      </c>
      <c r="N15" s="25" t="s">
        <v>80</v>
      </c>
      <c r="O15" s="25" t="s">
        <v>80</v>
      </c>
      <c r="P15" s="23" t="s">
        <v>131</v>
      </c>
    </row>
    <row r="16" spans="1:16" ht="23" x14ac:dyDescent="0.35">
      <c r="A16" s="20" t="s">
        <v>90</v>
      </c>
      <c r="B16" s="26" t="s">
        <v>91</v>
      </c>
      <c r="C16" s="21" t="s">
        <v>93</v>
      </c>
      <c r="D16" s="23" t="s">
        <v>135</v>
      </c>
      <c r="E16" s="22" t="s">
        <v>76</v>
      </c>
      <c r="F16" s="22" t="s">
        <v>76</v>
      </c>
      <c r="G16" s="23" t="s">
        <v>105</v>
      </c>
      <c r="H16" s="26" t="s">
        <v>91</v>
      </c>
      <c r="I16" s="21" t="s">
        <v>93</v>
      </c>
      <c r="J16" s="23" t="s">
        <v>135</v>
      </c>
      <c r="K16" s="22" t="s">
        <v>76</v>
      </c>
      <c r="L16" s="22" t="s">
        <v>76</v>
      </c>
      <c r="M16" s="23" t="s">
        <v>105</v>
      </c>
      <c r="N16" s="27" t="s">
        <v>91</v>
      </c>
      <c r="O16" s="22" t="s">
        <v>76</v>
      </c>
      <c r="P16" s="23" t="s">
        <v>122</v>
      </c>
    </row>
    <row r="17" spans="1:16" x14ac:dyDescent="0.35">
      <c r="A17" s="20" t="s">
        <v>95</v>
      </c>
      <c r="B17" s="24" t="s">
        <v>53</v>
      </c>
      <c r="C17" s="22" t="s">
        <v>76</v>
      </c>
      <c r="D17" s="23" t="s">
        <v>135</v>
      </c>
      <c r="E17" s="22" t="s">
        <v>76</v>
      </c>
      <c r="F17" s="22" t="s">
        <v>76</v>
      </c>
      <c r="G17" s="23" t="s">
        <v>105</v>
      </c>
      <c r="H17" s="24" t="s">
        <v>53</v>
      </c>
      <c r="I17" s="22" t="s">
        <v>76</v>
      </c>
      <c r="J17" s="23" t="s">
        <v>135</v>
      </c>
      <c r="K17" s="22" t="s">
        <v>76</v>
      </c>
      <c r="L17" s="22" t="s">
        <v>76</v>
      </c>
      <c r="M17" s="23" t="s">
        <v>105</v>
      </c>
      <c r="N17" s="25" t="s">
        <v>80</v>
      </c>
      <c r="O17" s="22" t="s">
        <v>76</v>
      </c>
      <c r="P17" s="23" t="s">
        <v>123</v>
      </c>
    </row>
    <row r="18" spans="1:16" x14ac:dyDescent="0.35">
      <c r="A18" s="20" t="s">
        <v>96</v>
      </c>
      <c r="B18" s="24" t="s">
        <v>53</v>
      </c>
      <c r="C18" s="22" t="s">
        <v>76</v>
      </c>
      <c r="D18" s="23" t="s">
        <v>77</v>
      </c>
      <c r="E18" s="22" t="s">
        <v>76</v>
      </c>
      <c r="F18" s="22" t="s">
        <v>76</v>
      </c>
      <c r="G18" s="23" t="s">
        <v>105</v>
      </c>
      <c r="H18" s="24" t="s">
        <v>53</v>
      </c>
      <c r="I18" s="22" t="s">
        <v>76</v>
      </c>
      <c r="J18" s="23" t="s">
        <v>77</v>
      </c>
      <c r="K18" s="22" t="s">
        <v>76</v>
      </c>
      <c r="L18" s="22" t="s">
        <v>76</v>
      </c>
      <c r="M18" s="23" t="s">
        <v>105</v>
      </c>
      <c r="N18" s="25" t="s">
        <v>80</v>
      </c>
      <c r="O18" s="22" t="s">
        <v>76</v>
      </c>
      <c r="P18" s="23" t="s">
        <v>123</v>
      </c>
    </row>
    <row r="19" spans="1:16" x14ac:dyDescent="0.35">
      <c r="A19" s="20" t="s">
        <v>97</v>
      </c>
      <c r="B19" s="24" t="s">
        <v>53</v>
      </c>
      <c r="C19" s="22" t="s">
        <v>76</v>
      </c>
      <c r="D19" s="23" t="s">
        <v>77</v>
      </c>
      <c r="E19" s="22" t="s">
        <v>76</v>
      </c>
      <c r="F19" s="22" t="s">
        <v>76</v>
      </c>
      <c r="G19" s="23" t="s">
        <v>105</v>
      </c>
      <c r="H19" s="24" t="s">
        <v>53</v>
      </c>
      <c r="I19" s="22" t="s">
        <v>76</v>
      </c>
      <c r="J19" s="23" t="s">
        <v>77</v>
      </c>
      <c r="K19" s="22" t="s">
        <v>76</v>
      </c>
      <c r="L19" s="22" t="s">
        <v>76</v>
      </c>
      <c r="M19" s="23" t="s">
        <v>105</v>
      </c>
      <c r="N19" s="25" t="s">
        <v>80</v>
      </c>
      <c r="O19" s="22" t="s">
        <v>76</v>
      </c>
      <c r="P19" s="23" t="s">
        <v>123</v>
      </c>
    </row>
    <row r="20" spans="1:16" x14ac:dyDescent="0.35">
      <c r="A20" s="20" t="s">
        <v>98</v>
      </c>
      <c r="B20" s="24" t="s">
        <v>53</v>
      </c>
      <c r="C20" s="22" t="s">
        <v>76</v>
      </c>
      <c r="D20" s="23" t="s">
        <v>77</v>
      </c>
      <c r="E20" s="22" t="s">
        <v>76</v>
      </c>
      <c r="F20" s="22" t="s">
        <v>76</v>
      </c>
      <c r="G20" s="23" t="s">
        <v>105</v>
      </c>
      <c r="H20" s="24" t="s">
        <v>53</v>
      </c>
      <c r="I20" s="22" t="s">
        <v>76</v>
      </c>
      <c r="J20" s="23" t="s">
        <v>77</v>
      </c>
      <c r="K20" s="22" t="s">
        <v>76</v>
      </c>
      <c r="L20" s="22" t="s">
        <v>76</v>
      </c>
      <c r="M20" s="23" t="s">
        <v>105</v>
      </c>
      <c r="N20" s="25" t="s">
        <v>80</v>
      </c>
      <c r="O20" s="22" t="s">
        <v>76</v>
      </c>
      <c r="P20" s="23" t="s">
        <v>123</v>
      </c>
    </row>
    <row r="21" spans="1:16" x14ac:dyDescent="0.35">
      <c r="A21" s="20" t="s">
        <v>99</v>
      </c>
      <c r="B21" s="24" t="s">
        <v>53</v>
      </c>
      <c r="C21" s="22" t="s">
        <v>76</v>
      </c>
      <c r="D21" s="23" t="s">
        <v>77</v>
      </c>
      <c r="E21" s="22" t="s">
        <v>76</v>
      </c>
      <c r="F21" s="22" t="s">
        <v>76</v>
      </c>
      <c r="G21" s="23" t="s">
        <v>105</v>
      </c>
      <c r="H21" s="24" t="s">
        <v>53</v>
      </c>
      <c r="I21" s="22" t="s">
        <v>76</v>
      </c>
      <c r="J21" s="23" t="s">
        <v>77</v>
      </c>
      <c r="K21" s="22" t="s">
        <v>76</v>
      </c>
      <c r="L21" s="22" t="s">
        <v>76</v>
      </c>
      <c r="M21" s="23" t="s">
        <v>105</v>
      </c>
      <c r="N21" s="25" t="s">
        <v>80</v>
      </c>
      <c r="O21" s="22" t="s">
        <v>76</v>
      </c>
      <c r="P21" s="23" t="s">
        <v>123</v>
      </c>
    </row>
    <row r="22" spans="1:16" x14ac:dyDescent="0.35">
      <c r="A22" s="20" t="s">
        <v>100</v>
      </c>
      <c r="B22" s="24" t="s">
        <v>53</v>
      </c>
      <c r="C22" s="22" t="s">
        <v>76</v>
      </c>
      <c r="D22" s="23" t="s">
        <v>77</v>
      </c>
      <c r="E22" s="22" t="s">
        <v>76</v>
      </c>
      <c r="F22" s="22" t="s">
        <v>76</v>
      </c>
      <c r="G22" s="23" t="s">
        <v>105</v>
      </c>
      <c r="H22" s="24" t="s">
        <v>53</v>
      </c>
      <c r="I22" s="22" t="s">
        <v>76</v>
      </c>
      <c r="J22" s="23" t="s">
        <v>77</v>
      </c>
      <c r="K22" s="22" t="s">
        <v>76</v>
      </c>
      <c r="L22" s="22" t="s">
        <v>76</v>
      </c>
      <c r="M22" s="23" t="s">
        <v>105</v>
      </c>
      <c r="N22" s="25" t="s">
        <v>80</v>
      </c>
      <c r="O22" s="22" t="s">
        <v>76</v>
      </c>
      <c r="P22" s="23" t="s">
        <v>123</v>
      </c>
    </row>
    <row r="23" spans="1:16" x14ac:dyDescent="0.35">
      <c r="A23" s="20" t="s">
        <v>101</v>
      </c>
      <c r="B23" s="21" t="s">
        <v>93</v>
      </c>
      <c r="C23" s="22" t="s">
        <v>76</v>
      </c>
      <c r="D23" s="23" t="s">
        <v>77</v>
      </c>
      <c r="E23" s="22" t="s">
        <v>76</v>
      </c>
      <c r="F23" s="22" t="s">
        <v>76</v>
      </c>
      <c r="G23" s="23" t="s">
        <v>105</v>
      </c>
      <c r="H23" s="21" t="s">
        <v>93</v>
      </c>
      <c r="I23" s="22" t="s">
        <v>76</v>
      </c>
      <c r="J23" s="23" t="s">
        <v>77</v>
      </c>
      <c r="K23" s="22" t="s">
        <v>76</v>
      </c>
      <c r="L23" s="22" t="s">
        <v>76</v>
      </c>
      <c r="M23" s="23" t="s">
        <v>105</v>
      </c>
      <c r="N23" s="22" t="s">
        <v>76</v>
      </c>
      <c r="O23" s="22" t="s">
        <v>76</v>
      </c>
      <c r="P23" s="23" t="s">
        <v>105</v>
      </c>
    </row>
    <row r="24" spans="1:16" x14ac:dyDescent="0.35">
      <c r="A24" s="20" t="s">
        <v>102</v>
      </c>
      <c r="B24" s="22" t="s">
        <v>76</v>
      </c>
      <c r="C24" s="22" t="s">
        <v>76</v>
      </c>
      <c r="D24" s="23" t="s">
        <v>105</v>
      </c>
      <c r="E24" s="22" t="s">
        <v>76</v>
      </c>
      <c r="F24" s="22" t="s">
        <v>76</v>
      </c>
      <c r="G24" s="23" t="s">
        <v>105</v>
      </c>
      <c r="H24" s="22" t="s">
        <v>76</v>
      </c>
      <c r="I24" s="22" t="s">
        <v>76</v>
      </c>
      <c r="J24" s="23" t="s">
        <v>105</v>
      </c>
      <c r="K24" s="22" t="s">
        <v>76</v>
      </c>
      <c r="L24" s="22" t="s">
        <v>76</v>
      </c>
      <c r="M24" s="23" t="s">
        <v>105</v>
      </c>
      <c r="N24" s="22" t="s">
        <v>76</v>
      </c>
      <c r="O24" s="22" t="s">
        <v>76</v>
      </c>
      <c r="P24" s="23" t="s">
        <v>105</v>
      </c>
    </row>
    <row r="25" spans="1:16" x14ac:dyDescent="0.35">
      <c r="A25" s="20" t="s">
        <v>103</v>
      </c>
      <c r="B25" s="22" t="s">
        <v>76</v>
      </c>
      <c r="C25" s="22" t="s">
        <v>76</v>
      </c>
      <c r="D25" s="23" t="s">
        <v>105</v>
      </c>
      <c r="E25" s="22" t="s">
        <v>76</v>
      </c>
      <c r="F25" s="22" t="s">
        <v>76</v>
      </c>
      <c r="G25" s="23" t="s">
        <v>105</v>
      </c>
      <c r="H25" s="22" t="s">
        <v>76</v>
      </c>
      <c r="I25" s="22" t="s">
        <v>76</v>
      </c>
      <c r="J25" s="23" t="s">
        <v>105</v>
      </c>
      <c r="K25" s="22" t="s">
        <v>76</v>
      </c>
      <c r="L25" s="22" t="s">
        <v>76</v>
      </c>
      <c r="M25" s="23" t="s">
        <v>105</v>
      </c>
      <c r="N25" s="22" t="s">
        <v>76</v>
      </c>
      <c r="O25" s="22" t="s">
        <v>76</v>
      </c>
      <c r="P25" s="23" t="s">
        <v>105</v>
      </c>
    </row>
    <row r="26" spans="1:16" x14ac:dyDescent="0.35">
      <c r="A26" s="20" t="s">
        <v>104</v>
      </c>
      <c r="B26" s="22" t="s">
        <v>76</v>
      </c>
      <c r="C26" s="22" t="s">
        <v>76</v>
      </c>
      <c r="D26" s="23" t="s">
        <v>105</v>
      </c>
      <c r="E26" s="22" t="s">
        <v>76</v>
      </c>
      <c r="F26" s="22" t="s">
        <v>76</v>
      </c>
      <c r="G26" s="23" t="s">
        <v>105</v>
      </c>
      <c r="H26" s="22" t="s">
        <v>76</v>
      </c>
      <c r="I26" s="22" t="s">
        <v>76</v>
      </c>
      <c r="J26" s="23" t="s">
        <v>105</v>
      </c>
      <c r="K26" s="22" t="s">
        <v>76</v>
      </c>
      <c r="L26" s="22" t="s">
        <v>76</v>
      </c>
      <c r="M26" s="23" t="s">
        <v>105</v>
      </c>
      <c r="N26" s="22" t="s">
        <v>76</v>
      </c>
      <c r="O26" s="22" t="s">
        <v>76</v>
      </c>
      <c r="P26" s="23" t="s">
        <v>105</v>
      </c>
    </row>
    <row r="27" spans="1:16" x14ac:dyDescent="0.35">
      <c r="A27" s="20" t="s">
        <v>106</v>
      </c>
      <c r="B27" s="22" t="s">
        <v>76</v>
      </c>
      <c r="C27" s="22" t="s">
        <v>76</v>
      </c>
      <c r="D27" s="23" t="s">
        <v>105</v>
      </c>
      <c r="E27" s="22" t="s">
        <v>76</v>
      </c>
      <c r="F27" s="22" t="s">
        <v>76</v>
      </c>
      <c r="G27" s="23" t="s">
        <v>105</v>
      </c>
      <c r="H27" s="22" t="s">
        <v>76</v>
      </c>
      <c r="I27" s="22" t="s">
        <v>76</v>
      </c>
      <c r="J27" s="23" t="s">
        <v>105</v>
      </c>
      <c r="K27" s="22" t="s">
        <v>76</v>
      </c>
      <c r="L27" s="22" t="s">
        <v>76</v>
      </c>
      <c r="M27" s="23" t="s">
        <v>105</v>
      </c>
      <c r="N27" s="22" t="s">
        <v>76</v>
      </c>
      <c r="O27" s="22" t="s">
        <v>76</v>
      </c>
      <c r="P27" s="23" t="s">
        <v>105</v>
      </c>
    </row>
    <row r="29" spans="1:16" x14ac:dyDescent="0.35">
      <c r="A29" s="45" t="s">
        <v>107</v>
      </c>
      <c r="B29" s="40"/>
      <c r="C29" s="40"/>
      <c r="D29" s="40"/>
      <c r="E29" s="40"/>
      <c r="F29" s="40"/>
      <c r="G29" s="40"/>
      <c r="H29" s="40"/>
    </row>
    <row r="30" spans="1:16" ht="26" x14ac:dyDescent="0.35">
      <c r="A30" s="28"/>
      <c r="B30" s="28" t="s">
        <v>108</v>
      </c>
      <c r="C30" s="28" t="s">
        <v>109</v>
      </c>
      <c r="D30" s="28" t="s">
        <v>110</v>
      </c>
      <c r="E30" s="28" t="s">
        <v>111</v>
      </c>
      <c r="F30" s="28" t="s">
        <v>112</v>
      </c>
      <c r="G30" s="28" t="s">
        <v>113</v>
      </c>
      <c r="H30" s="28" t="s">
        <v>114</v>
      </c>
    </row>
    <row r="31" spans="1:16" x14ac:dyDescent="0.35">
      <c r="A31" s="29" t="s">
        <v>71</v>
      </c>
      <c r="B31" s="30">
        <v>21</v>
      </c>
      <c r="C31" s="31">
        <v>96000</v>
      </c>
      <c r="D31" s="32">
        <f>B31/40</f>
        <v>0.52500000000000002</v>
      </c>
      <c r="E31" s="31">
        <f>C31*D31/12</f>
        <v>4200</v>
      </c>
      <c r="F31" s="31">
        <f>C31*D31</f>
        <v>50400</v>
      </c>
      <c r="G31" s="31">
        <f>IF(E31&gt;=8000,E31*0.6,IF(E31&gt;=7000,E31*0.61,IF(E31&gt;=6000,E31*0.62,IF(E31&gt;=5000,E31*0.64,IF(E31&gt;=4000,E31*0.66,IF(E31&gt;=3000,E31*0.68,E31*0.7))))))</f>
        <v>2772</v>
      </c>
      <c r="H31" s="31">
        <f>G31*12</f>
        <v>33264</v>
      </c>
    </row>
    <row r="32" spans="1:16" ht="26" x14ac:dyDescent="0.35">
      <c r="A32" s="29" t="s">
        <v>115</v>
      </c>
      <c r="B32" s="30">
        <v>20</v>
      </c>
      <c r="C32" s="31">
        <v>84000</v>
      </c>
      <c r="D32" s="32">
        <f>B32/40</f>
        <v>0.5</v>
      </c>
      <c r="E32" s="31">
        <f>C32*D32/12</f>
        <v>3500</v>
      </c>
      <c r="F32" s="31">
        <f>C32*D32</f>
        <v>42000</v>
      </c>
      <c r="G32" s="31">
        <f>IF(E32&gt;=8000,E32*0.6,IF(E32&gt;=7000,E32*0.61,IF(E32&gt;=6000,E32*0.62,IF(E32&gt;=5000,E32*0.64,IF(E32&gt;=4000,E32*0.66,IF(E32&gt;=3000,E32*0.68,E32*0.7))))))</f>
        <v>2380</v>
      </c>
      <c r="H32" s="31">
        <f>G32*12</f>
        <v>28560</v>
      </c>
    </row>
    <row r="33" spans="1:8" ht="39" x14ac:dyDescent="0.35">
      <c r="A33" s="33" t="s">
        <v>116</v>
      </c>
      <c r="B33" s="34">
        <f>B31+B32</f>
        <v>41</v>
      </c>
      <c r="C33" s="33"/>
      <c r="D33" s="33"/>
      <c r="E33" s="35">
        <f>E31+E32</f>
        <v>7700</v>
      </c>
      <c r="F33" s="35">
        <f>F31+F32</f>
        <v>92400</v>
      </c>
      <c r="G33" s="35">
        <f>G31+G32</f>
        <v>5152</v>
      </c>
      <c r="H33" s="35">
        <f>H31+H32</f>
        <v>61824</v>
      </c>
    </row>
    <row r="35" spans="1:8" x14ac:dyDescent="0.35">
      <c r="A35" s="6" t="s">
        <v>117</v>
      </c>
      <c r="B35" s="36">
        <f>F33*0.7</f>
        <v>64679.999999999993</v>
      </c>
    </row>
    <row r="36" spans="1:8" x14ac:dyDescent="0.35">
      <c r="A36" s="6" t="s">
        <v>149</v>
      </c>
      <c r="B36" s="38">
        <v>106</v>
      </c>
    </row>
    <row r="37" spans="1:8" x14ac:dyDescent="0.35">
      <c r="A37" s="6" t="s">
        <v>137</v>
      </c>
      <c r="B37" s="37">
        <f>G33-B36</f>
        <v>5046</v>
      </c>
    </row>
    <row r="39" spans="1:8" x14ac:dyDescent="0.35">
      <c r="A39" s="39" t="s">
        <v>119</v>
      </c>
      <c r="B39" s="40"/>
      <c r="C39" s="40"/>
      <c r="D39" s="40"/>
      <c r="E39" s="40"/>
      <c r="F39" s="40"/>
      <c r="G39" s="40"/>
      <c r="H39" s="40"/>
    </row>
    <row r="40" spans="1:8" x14ac:dyDescent="0.35">
      <c r="A40" s="8" t="s">
        <v>150</v>
      </c>
    </row>
    <row r="43" spans="1:8" x14ac:dyDescent="0.35">
      <c r="A43" s="6" t="s">
        <v>52</v>
      </c>
    </row>
    <row r="44" spans="1:8" x14ac:dyDescent="0.35">
      <c r="A44" s="7"/>
      <c r="B44" s="39" t="s">
        <v>53</v>
      </c>
      <c r="C44" s="40"/>
      <c r="D44" s="40"/>
      <c r="E44" s="40"/>
    </row>
    <row r="45" spans="1:8" x14ac:dyDescent="0.35">
      <c r="A45" s="9"/>
      <c r="B45" s="39" t="s">
        <v>54</v>
      </c>
      <c r="C45" s="40"/>
      <c r="D45" s="40"/>
      <c r="E45" s="40"/>
    </row>
    <row r="46" spans="1:8" x14ac:dyDescent="0.35">
      <c r="A46" s="10"/>
      <c r="B46" s="39" t="s">
        <v>55</v>
      </c>
      <c r="C46" s="40"/>
      <c r="D46" s="40"/>
      <c r="E46" s="40"/>
    </row>
    <row r="47" spans="1:8" x14ac:dyDescent="0.35">
      <c r="A47" s="11"/>
      <c r="B47" s="39" t="s">
        <v>56</v>
      </c>
      <c r="C47" s="40"/>
      <c r="D47" s="40"/>
      <c r="E47" s="40"/>
    </row>
    <row r="48" spans="1:8" x14ac:dyDescent="0.35">
      <c r="A48" s="12"/>
      <c r="B48" s="39" t="s">
        <v>57</v>
      </c>
      <c r="C48" s="40"/>
      <c r="D48" s="40"/>
      <c r="E48" s="40"/>
    </row>
    <row r="49" spans="1:5" x14ac:dyDescent="0.35">
      <c r="A49" s="13"/>
      <c r="B49" s="39" t="s">
        <v>58</v>
      </c>
      <c r="C49" s="40"/>
      <c r="D49" s="40"/>
      <c r="E49" s="40"/>
    </row>
    <row r="50" spans="1:5" x14ac:dyDescent="0.35">
      <c r="A50" s="14"/>
      <c r="B50" s="39" t="s">
        <v>59</v>
      </c>
      <c r="C50" s="40"/>
      <c r="D50" s="40"/>
      <c r="E50" s="40"/>
    </row>
    <row r="51" spans="1:5" x14ac:dyDescent="0.35">
      <c r="A51" s="15"/>
      <c r="B51" s="39" t="s">
        <v>60</v>
      </c>
      <c r="C51" s="40"/>
      <c r="D51" s="40"/>
      <c r="E51" s="40"/>
    </row>
    <row r="52" spans="1:5" x14ac:dyDescent="0.35">
      <c r="A52" s="16"/>
      <c r="B52" s="39" t="s">
        <v>61</v>
      </c>
      <c r="C52" s="40"/>
      <c r="D52" s="40"/>
      <c r="E52" s="40"/>
    </row>
  </sheetData>
  <mergeCells count="19">
    <mergeCell ref="A1:P1"/>
    <mergeCell ref="H5:J5"/>
    <mergeCell ref="B52:E52"/>
    <mergeCell ref="B48:E48"/>
    <mergeCell ref="A29:H29"/>
    <mergeCell ref="E5:G5"/>
    <mergeCell ref="K5:M5"/>
    <mergeCell ref="B44:E44"/>
    <mergeCell ref="A2:P2"/>
    <mergeCell ref="A39:H39"/>
    <mergeCell ref="B49:E49"/>
    <mergeCell ref="N5:P5"/>
    <mergeCell ref="A4:P4"/>
    <mergeCell ref="B51:E51"/>
    <mergeCell ref="B45:E45"/>
    <mergeCell ref="B50:E50"/>
    <mergeCell ref="B47:E47"/>
    <mergeCell ref="B46:E46"/>
    <mergeCell ref="B5:D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2"/>
  <sheetViews>
    <sheetView tabSelected="1" topLeftCell="A4" workbookViewId="0">
      <selection activeCell="I36" sqref="I36"/>
    </sheetView>
  </sheetViews>
  <sheetFormatPr baseColWidth="10" defaultColWidth="8.7265625" defaultRowHeight="14.5" x14ac:dyDescent="0.35"/>
  <cols>
    <col min="1" max="1" width="8" customWidth="1"/>
    <col min="2" max="16" width="11" customWidth="1"/>
  </cols>
  <sheetData>
    <row r="1" spans="1:16" x14ac:dyDescent="0.35">
      <c r="A1" s="44" t="s">
        <v>151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35">
      <c r="A2" s="39" t="s">
        <v>152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16" x14ac:dyDescent="0.35">
      <c r="A4" s="43" t="s">
        <v>64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18" x14ac:dyDescent="0.35">
      <c r="A5" s="17" t="s">
        <v>65</v>
      </c>
      <c r="B5" s="42" t="s">
        <v>66</v>
      </c>
      <c r="C5" s="40"/>
      <c r="D5" s="40"/>
      <c r="E5" s="42" t="s">
        <v>67</v>
      </c>
      <c r="F5" s="40"/>
      <c r="G5" s="40"/>
      <c r="H5" s="42" t="s">
        <v>68</v>
      </c>
      <c r="I5" s="40"/>
      <c r="J5" s="40"/>
      <c r="K5" s="42" t="s">
        <v>69</v>
      </c>
      <c r="L5" s="40"/>
      <c r="M5" s="40"/>
      <c r="N5" s="42" t="s">
        <v>70</v>
      </c>
      <c r="O5" s="40"/>
      <c r="P5" s="40"/>
    </row>
    <row r="6" spans="1:16" x14ac:dyDescent="0.35">
      <c r="A6" s="18"/>
      <c r="B6" s="19" t="s">
        <v>71</v>
      </c>
      <c r="C6" s="19" t="s">
        <v>72</v>
      </c>
      <c r="D6" s="19" t="s">
        <v>73</v>
      </c>
      <c r="E6" s="19" t="s">
        <v>71</v>
      </c>
      <c r="F6" s="19" t="s">
        <v>72</v>
      </c>
      <c r="G6" s="19" t="s">
        <v>73</v>
      </c>
      <c r="H6" s="19" t="s">
        <v>71</v>
      </c>
      <c r="I6" s="19" t="s">
        <v>72</v>
      </c>
      <c r="J6" s="19" t="s">
        <v>73</v>
      </c>
      <c r="K6" s="19" t="s">
        <v>71</v>
      </c>
      <c r="L6" s="19" t="s">
        <v>72</v>
      </c>
      <c r="M6" s="19" t="s">
        <v>73</v>
      </c>
      <c r="N6" s="19" t="s">
        <v>71</v>
      </c>
      <c r="O6" s="19" t="s">
        <v>72</v>
      </c>
      <c r="P6" s="19" t="s">
        <v>73</v>
      </c>
    </row>
    <row r="7" spans="1:16" x14ac:dyDescent="0.35">
      <c r="A7" s="20" t="s">
        <v>74</v>
      </c>
      <c r="B7" s="22" t="s">
        <v>76</v>
      </c>
      <c r="C7" s="21" t="s">
        <v>75</v>
      </c>
      <c r="D7" s="23" t="s">
        <v>135</v>
      </c>
      <c r="E7" s="22" t="s">
        <v>76</v>
      </c>
      <c r="F7" s="21" t="s">
        <v>75</v>
      </c>
      <c r="G7" s="23" t="s">
        <v>135</v>
      </c>
      <c r="H7" s="21" t="s">
        <v>75</v>
      </c>
      <c r="I7" s="22" t="s">
        <v>76</v>
      </c>
      <c r="J7" s="23" t="s">
        <v>77</v>
      </c>
      <c r="K7" s="21" t="s">
        <v>75</v>
      </c>
      <c r="L7" s="22" t="s">
        <v>76</v>
      </c>
      <c r="M7" s="23" t="s">
        <v>135</v>
      </c>
      <c r="N7" s="22" t="s">
        <v>76</v>
      </c>
      <c r="O7" s="22" t="s">
        <v>76</v>
      </c>
      <c r="P7" s="23" t="s">
        <v>105</v>
      </c>
    </row>
    <row r="8" spans="1:16" x14ac:dyDescent="0.35">
      <c r="A8" s="20" t="s">
        <v>79</v>
      </c>
      <c r="B8" s="25" t="s">
        <v>80</v>
      </c>
      <c r="C8" s="24" t="s">
        <v>53</v>
      </c>
      <c r="D8" s="23" t="s">
        <v>135</v>
      </c>
      <c r="E8" s="25" t="s">
        <v>80</v>
      </c>
      <c r="F8" s="24" t="s">
        <v>53</v>
      </c>
      <c r="G8" s="23" t="s">
        <v>135</v>
      </c>
      <c r="H8" s="24" t="s">
        <v>53</v>
      </c>
      <c r="I8" s="22" t="s">
        <v>76</v>
      </c>
      <c r="J8" s="23" t="s">
        <v>77</v>
      </c>
      <c r="K8" s="24" t="s">
        <v>53</v>
      </c>
      <c r="L8" s="25" t="s">
        <v>80</v>
      </c>
      <c r="M8" s="23" t="s">
        <v>135</v>
      </c>
      <c r="N8" s="22" t="s">
        <v>76</v>
      </c>
      <c r="O8" s="22" t="s">
        <v>76</v>
      </c>
      <c r="P8" s="23" t="s">
        <v>105</v>
      </c>
    </row>
    <row r="9" spans="1:16" x14ac:dyDescent="0.35">
      <c r="A9" s="20" t="s">
        <v>83</v>
      </c>
      <c r="B9" s="25" t="s">
        <v>80</v>
      </c>
      <c r="C9" s="24" t="s">
        <v>53</v>
      </c>
      <c r="D9" s="23" t="s">
        <v>135</v>
      </c>
      <c r="E9" s="25" t="s">
        <v>80</v>
      </c>
      <c r="F9" s="24" t="s">
        <v>53</v>
      </c>
      <c r="G9" s="23" t="s">
        <v>135</v>
      </c>
      <c r="H9" s="24" t="s">
        <v>53</v>
      </c>
      <c r="I9" s="22" t="s">
        <v>76</v>
      </c>
      <c r="J9" s="23" t="s">
        <v>77</v>
      </c>
      <c r="K9" s="24" t="s">
        <v>53</v>
      </c>
      <c r="L9" s="25" t="s">
        <v>80</v>
      </c>
      <c r="M9" s="23" t="s">
        <v>135</v>
      </c>
      <c r="N9" s="22" t="s">
        <v>76</v>
      </c>
      <c r="O9" s="22" t="s">
        <v>76</v>
      </c>
      <c r="P9" s="23" t="s">
        <v>105</v>
      </c>
    </row>
    <row r="10" spans="1:16" x14ac:dyDescent="0.35">
      <c r="A10" s="20" t="s">
        <v>84</v>
      </c>
      <c r="B10" s="25" t="s">
        <v>80</v>
      </c>
      <c r="C10" s="24" t="s">
        <v>53</v>
      </c>
      <c r="D10" s="23" t="s">
        <v>135</v>
      </c>
      <c r="E10" s="25" t="s">
        <v>80</v>
      </c>
      <c r="F10" s="24" t="s">
        <v>53</v>
      </c>
      <c r="G10" s="23" t="s">
        <v>135</v>
      </c>
      <c r="H10" s="24" t="s">
        <v>53</v>
      </c>
      <c r="I10" s="22" t="s">
        <v>76</v>
      </c>
      <c r="J10" s="23" t="s">
        <v>77</v>
      </c>
      <c r="K10" s="24" t="s">
        <v>53</v>
      </c>
      <c r="L10" s="25" t="s">
        <v>80</v>
      </c>
      <c r="M10" s="23" t="s">
        <v>135</v>
      </c>
      <c r="N10" s="22" t="s">
        <v>76</v>
      </c>
      <c r="O10" s="22" t="s">
        <v>76</v>
      </c>
      <c r="P10" s="23" t="s">
        <v>105</v>
      </c>
    </row>
    <row r="11" spans="1:16" x14ac:dyDescent="0.35">
      <c r="A11" s="20" t="s">
        <v>85</v>
      </c>
      <c r="B11" s="25" t="s">
        <v>80</v>
      </c>
      <c r="C11" s="24" t="s">
        <v>53</v>
      </c>
      <c r="D11" s="23" t="s">
        <v>135</v>
      </c>
      <c r="E11" s="25" t="s">
        <v>80</v>
      </c>
      <c r="F11" s="24" t="s">
        <v>53</v>
      </c>
      <c r="G11" s="23" t="s">
        <v>135</v>
      </c>
      <c r="H11" s="24" t="s">
        <v>53</v>
      </c>
      <c r="I11" s="22" t="s">
        <v>76</v>
      </c>
      <c r="J11" s="23" t="s">
        <v>77</v>
      </c>
      <c r="K11" s="24" t="s">
        <v>53</v>
      </c>
      <c r="L11" s="25" t="s">
        <v>80</v>
      </c>
      <c r="M11" s="23" t="s">
        <v>135</v>
      </c>
      <c r="N11" s="22" t="s">
        <v>76</v>
      </c>
      <c r="O11" s="22" t="s">
        <v>76</v>
      </c>
      <c r="P11" s="23" t="s">
        <v>105</v>
      </c>
    </row>
    <row r="12" spans="1:16" x14ac:dyDescent="0.35">
      <c r="A12" s="20" t="s">
        <v>86</v>
      </c>
      <c r="B12" s="25" t="s">
        <v>80</v>
      </c>
      <c r="C12" s="24" t="s">
        <v>53</v>
      </c>
      <c r="D12" s="23" t="s">
        <v>135</v>
      </c>
      <c r="E12" s="25" t="s">
        <v>80</v>
      </c>
      <c r="F12" s="24" t="s">
        <v>53</v>
      </c>
      <c r="G12" s="23" t="s">
        <v>135</v>
      </c>
      <c r="H12" s="24" t="s">
        <v>53</v>
      </c>
      <c r="I12" s="22" t="s">
        <v>76</v>
      </c>
      <c r="J12" s="23" t="s">
        <v>77</v>
      </c>
      <c r="K12" s="24" t="s">
        <v>53</v>
      </c>
      <c r="L12" s="25" t="s">
        <v>80</v>
      </c>
      <c r="M12" s="23" t="s">
        <v>135</v>
      </c>
      <c r="N12" s="22" t="s">
        <v>76</v>
      </c>
      <c r="O12" s="22" t="s">
        <v>76</v>
      </c>
      <c r="P12" s="23" t="s">
        <v>105</v>
      </c>
    </row>
    <row r="13" spans="1:16" x14ac:dyDescent="0.35">
      <c r="A13" s="20" t="s">
        <v>87</v>
      </c>
      <c r="B13" s="25" t="s">
        <v>80</v>
      </c>
      <c r="C13" s="24" t="s">
        <v>53</v>
      </c>
      <c r="D13" s="23" t="s">
        <v>135</v>
      </c>
      <c r="E13" s="25" t="s">
        <v>80</v>
      </c>
      <c r="F13" s="24" t="s">
        <v>53</v>
      </c>
      <c r="G13" s="23" t="s">
        <v>135</v>
      </c>
      <c r="H13" s="24" t="s">
        <v>53</v>
      </c>
      <c r="I13" s="22" t="s">
        <v>76</v>
      </c>
      <c r="J13" s="23" t="s">
        <v>77</v>
      </c>
      <c r="K13" s="24" t="s">
        <v>53</v>
      </c>
      <c r="L13" s="25" t="s">
        <v>80</v>
      </c>
      <c r="M13" s="23" t="s">
        <v>135</v>
      </c>
      <c r="N13" s="22" t="s">
        <v>76</v>
      </c>
      <c r="O13" s="22" t="s">
        <v>76</v>
      </c>
      <c r="P13" s="23" t="s">
        <v>105</v>
      </c>
    </row>
    <row r="14" spans="1:16" x14ac:dyDescent="0.35">
      <c r="A14" s="20" t="s">
        <v>88</v>
      </c>
      <c r="B14" s="25" t="s">
        <v>80</v>
      </c>
      <c r="C14" s="24" t="s">
        <v>53</v>
      </c>
      <c r="D14" s="23" t="s">
        <v>135</v>
      </c>
      <c r="E14" s="25" t="s">
        <v>80</v>
      </c>
      <c r="F14" s="24" t="s">
        <v>53</v>
      </c>
      <c r="G14" s="23" t="s">
        <v>135</v>
      </c>
      <c r="H14" s="24" t="s">
        <v>53</v>
      </c>
      <c r="I14" s="22" t="s">
        <v>76</v>
      </c>
      <c r="J14" s="23" t="s">
        <v>77</v>
      </c>
      <c r="K14" s="24" t="s">
        <v>53</v>
      </c>
      <c r="L14" s="25" t="s">
        <v>80</v>
      </c>
      <c r="M14" s="23" t="s">
        <v>135</v>
      </c>
      <c r="N14" s="22" t="s">
        <v>76</v>
      </c>
      <c r="O14" s="22" t="s">
        <v>76</v>
      </c>
      <c r="P14" s="23" t="s">
        <v>105</v>
      </c>
    </row>
    <row r="15" spans="1:16" x14ac:dyDescent="0.35">
      <c r="A15" s="20" t="s">
        <v>89</v>
      </c>
      <c r="B15" s="25" t="s">
        <v>80</v>
      </c>
      <c r="C15" s="24" t="s">
        <v>53</v>
      </c>
      <c r="D15" s="23" t="s">
        <v>135</v>
      </c>
      <c r="E15" s="25" t="s">
        <v>80</v>
      </c>
      <c r="F15" s="24" t="s">
        <v>53</v>
      </c>
      <c r="G15" s="23" t="s">
        <v>135</v>
      </c>
      <c r="H15" s="24" t="s">
        <v>53</v>
      </c>
      <c r="I15" s="22" t="s">
        <v>76</v>
      </c>
      <c r="J15" s="23" t="s">
        <v>77</v>
      </c>
      <c r="K15" s="24" t="s">
        <v>53</v>
      </c>
      <c r="L15" s="25" t="s">
        <v>80</v>
      </c>
      <c r="M15" s="23" t="s">
        <v>81</v>
      </c>
      <c r="N15" s="22" t="s">
        <v>76</v>
      </c>
      <c r="O15" s="22" t="s">
        <v>76</v>
      </c>
      <c r="P15" s="23" t="s">
        <v>105</v>
      </c>
    </row>
    <row r="16" spans="1:16" x14ac:dyDescent="0.35">
      <c r="A16" s="20" t="s">
        <v>90</v>
      </c>
      <c r="B16" s="27" t="s">
        <v>91</v>
      </c>
      <c r="C16" s="26" t="s">
        <v>91</v>
      </c>
      <c r="D16" s="23" t="s">
        <v>135</v>
      </c>
      <c r="E16" s="27" t="s">
        <v>91</v>
      </c>
      <c r="F16" s="26" t="s">
        <v>91</v>
      </c>
      <c r="G16" s="23" t="s">
        <v>135</v>
      </c>
      <c r="H16" s="26" t="s">
        <v>91</v>
      </c>
      <c r="I16" s="22" t="s">
        <v>76</v>
      </c>
      <c r="J16" s="23" t="s">
        <v>77</v>
      </c>
      <c r="K16" s="26" t="s">
        <v>91</v>
      </c>
      <c r="L16" s="22" t="s">
        <v>76</v>
      </c>
      <c r="M16" s="23" t="s">
        <v>77</v>
      </c>
      <c r="N16" s="22" t="s">
        <v>76</v>
      </c>
      <c r="O16" s="22" t="s">
        <v>76</v>
      </c>
      <c r="P16" s="23" t="s">
        <v>105</v>
      </c>
    </row>
    <row r="17" spans="1:16" x14ac:dyDescent="0.35">
      <c r="A17" s="20" t="s">
        <v>95</v>
      </c>
      <c r="B17" s="25" t="s">
        <v>80</v>
      </c>
      <c r="C17" s="24" t="s">
        <v>53</v>
      </c>
      <c r="D17" s="23" t="s">
        <v>135</v>
      </c>
      <c r="E17" s="25" t="s">
        <v>80</v>
      </c>
      <c r="F17" s="24" t="s">
        <v>53</v>
      </c>
      <c r="G17" s="23" t="s">
        <v>135</v>
      </c>
      <c r="H17" s="24" t="s">
        <v>53</v>
      </c>
      <c r="I17" s="22" t="s">
        <v>76</v>
      </c>
      <c r="J17" s="23" t="s">
        <v>77</v>
      </c>
      <c r="K17" s="24" t="s">
        <v>53</v>
      </c>
      <c r="L17" s="22" t="s">
        <v>76</v>
      </c>
      <c r="M17" s="23" t="s">
        <v>77</v>
      </c>
      <c r="N17" s="22" t="s">
        <v>76</v>
      </c>
      <c r="O17" s="22" t="s">
        <v>76</v>
      </c>
      <c r="P17" s="23" t="s">
        <v>105</v>
      </c>
    </row>
    <row r="18" spans="1:16" x14ac:dyDescent="0.35">
      <c r="A18" s="20" t="s">
        <v>96</v>
      </c>
      <c r="B18" s="25" t="s">
        <v>80</v>
      </c>
      <c r="C18" s="24" t="s">
        <v>53</v>
      </c>
      <c r="D18" s="23" t="s">
        <v>135</v>
      </c>
      <c r="E18" s="25" t="s">
        <v>80</v>
      </c>
      <c r="F18" s="24" t="s">
        <v>53</v>
      </c>
      <c r="G18" s="23" t="s">
        <v>135</v>
      </c>
      <c r="H18" s="24" t="s">
        <v>53</v>
      </c>
      <c r="I18" s="22" t="s">
        <v>76</v>
      </c>
      <c r="J18" s="23" t="s">
        <v>77</v>
      </c>
      <c r="K18" s="24" t="s">
        <v>53</v>
      </c>
      <c r="L18" s="22" t="s">
        <v>76</v>
      </c>
      <c r="M18" s="23" t="s">
        <v>77</v>
      </c>
      <c r="N18" s="22" t="s">
        <v>76</v>
      </c>
      <c r="O18" s="22" t="s">
        <v>76</v>
      </c>
      <c r="P18" s="23" t="s">
        <v>105</v>
      </c>
    </row>
    <row r="19" spans="1:16" x14ac:dyDescent="0.35">
      <c r="A19" s="20" t="s">
        <v>97</v>
      </c>
      <c r="B19" s="25" t="s">
        <v>80</v>
      </c>
      <c r="C19" s="24" t="s">
        <v>53</v>
      </c>
      <c r="D19" s="23" t="s">
        <v>135</v>
      </c>
      <c r="E19" s="25" t="s">
        <v>80</v>
      </c>
      <c r="F19" s="24" t="s">
        <v>53</v>
      </c>
      <c r="G19" s="23" t="s">
        <v>135</v>
      </c>
      <c r="H19" s="24" t="s">
        <v>53</v>
      </c>
      <c r="I19" s="22" t="s">
        <v>76</v>
      </c>
      <c r="J19" s="23" t="s">
        <v>77</v>
      </c>
      <c r="K19" s="24" t="s">
        <v>53</v>
      </c>
      <c r="L19" s="22" t="s">
        <v>76</v>
      </c>
      <c r="M19" s="23" t="s">
        <v>77</v>
      </c>
      <c r="N19" s="22" t="s">
        <v>76</v>
      </c>
      <c r="O19" s="22" t="s">
        <v>76</v>
      </c>
      <c r="P19" s="23" t="s">
        <v>105</v>
      </c>
    </row>
    <row r="20" spans="1:16" x14ac:dyDescent="0.35">
      <c r="A20" s="20" t="s">
        <v>98</v>
      </c>
      <c r="B20" s="25" t="s">
        <v>80</v>
      </c>
      <c r="C20" s="24" t="s">
        <v>53</v>
      </c>
      <c r="D20" s="23" t="s">
        <v>135</v>
      </c>
      <c r="E20" s="25" t="s">
        <v>80</v>
      </c>
      <c r="F20" s="24" t="s">
        <v>53</v>
      </c>
      <c r="G20" s="23" t="s">
        <v>135</v>
      </c>
      <c r="H20" s="24" t="s">
        <v>53</v>
      </c>
      <c r="I20" s="22" t="s">
        <v>76</v>
      </c>
      <c r="J20" s="23" t="s">
        <v>77</v>
      </c>
      <c r="K20" s="24" t="s">
        <v>53</v>
      </c>
      <c r="L20" s="22" t="s">
        <v>76</v>
      </c>
      <c r="M20" s="23" t="s">
        <v>77</v>
      </c>
      <c r="N20" s="22" t="s">
        <v>76</v>
      </c>
      <c r="O20" s="22" t="s">
        <v>76</v>
      </c>
      <c r="P20" s="23" t="s">
        <v>105</v>
      </c>
    </row>
    <row r="21" spans="1:16" x14ac:dyDescent="0.35">
      <c r="A21" s="20" t="s">
        <v>99</v>
      </c>
      <c r="B21" s="25" t="s">
        <v>80</v>
      </c>
      <c r="C21" s="24" t="s">
        <v>53</v>
      </c>
      <c r="D21" s="23" t="s">
        <v>135</v>
      </c>
      <c r="E21" s="25" t="s">
        <v>80</v>
      </c>
      <c r="F21" s="24" t="s">
        <v>53</v>
      </c>
      <c r="G21" s="23" t="s">
        <v>135</v>
      </c>
      <c r="H21" s="24" t="s">
        <v>53</v>
      </c>
      <c r="I21" s="22" t="s">
        <v>76</v>
      </c>
      <c r="J21" s="23" t="s">
        <v>77</v>
      </c>
      <c r="K21" s="24" t="s">
        <v>53</v>
      </c>
      <c r="L21" s="22" t="s">
        <v>76</v>
      </c>
      <c r="M21" s="23" t="s">
        <v>77</v>
      </c>
      <c r="N21" s="22" t="s">
        <v>76</v>
      </c>
      <c r="O21" s="22" t="s">
        <v>76</v>
      </c>
      <c r="P21" s="23" t="s">
        <v>105</v>
      </c>
    </row>
    <row r="22" spans="1:16" x14ac:dyDescent="0.35">
      <c r="A22" s="20" t="s">
        <v>100</v>
      </c>
      <c r="B22" s="25" t="s">
        <v>80</v>
      </c>
      <c r="C22" s="24" t="s">
        <v>53</v>
      </c>
      <c r="D22" s="23" t="s">
        <v>135</v>
      </c>
      <c r="E22" s="25" t="s">
        <v>80</v>
      </c>
      <c r="F22" s="24" t="s">
        <v>53</v>
      </c>
      <c r="G22" s="23" t="s">
        <v>135</v>
      </c>
      <c r="H22" s="24" t="s">
        <v>53</v>
      </c>
      <c r="I22" s="22" t="s">
        <v>76</v>
      </c>
      <c r="J22" s="23" t="s">
        <v>77</v>
      </c>
      <c r="K22" s="24" t="s">
        <v>53</v>
      </c>
      <c r="L22" s="22" t="s">
        <v>76</v>
      </c>
      <c r="M22" s="23" t="s">
        <v>77</v>
      </c>
      <c r="N22" s="22" t="s">
        <v>76</v>
      </c>
      <c r="O22" s="22" t="s">
        <v>76</v>
      </c>
      <c r="P22" s="23" t="s">
        <v>105</v>
      </c>
    </row>
    <row r="23" spans="1:16" x14ac:dyDescent="0.35">
      <c r="A23" s="20" t="s">
        <v>101</v>
      </c>
      <c r="B23" s="25" t="s">
        <v>80</v>
      </c>
      <c r="C23" s="24" t="s">
        <v>53</v>
      </c>
      <c r="D23" s="23" t="s">
        <v>82</v>
      </c>
      <c r="E23" s="25" t="s">
        <v>80</v>
      </c>
      <c r="F23" s="24" t="s">
        <v>53</v>
      </c>
      <c r="G23" s="23" t="s">
        <v>82</v>
      </c>
      <c r="H23" s="24" t="s">
        <v>53</v>
      </c>
      <c r="I23" s="22" t="s">
        <v>76</v>
      </c>
      <c r="J23" s="23" t="s">
        <v>77</v>
      </c>
      <c r="K23" s="24" t="s">
        <v>53</v>
      </c>
      <c r="L23" s="22" t="s">
        <v>76</v>
      </c>
      <c r="M23" s="23" t="s">
        <v>77</v>
      </c>
      <c r="N23" s="22" t="s">
        <v>76</v>
      </c>
      <c r="O23" s="22" t="s">
        <v>76</v>
      </c>
      <c r="P23" s="23" t="s">
        <v>105</v>
      </c>
    </row>
    <row r="24" spans="1:16" x14ac:dyDescent="0.35">
      <c r="A24" s="20" t="s">
        <v>102</v>
      </c>
      <c r="B24" s="25" t="s">
        <v>80</v>
      </c>
      <c r="C24" s="24" t="s">
        <v>53</v>
      </c>
      <c r="D24" s="23" t="s">
        <v>82</v>
      </c>
      <c r="E24" s="25" t="s">
        <v>80</v>
      </c>
      <c r="F24" s="24" t="s">
        <v>53</v>
      </c>
      <c r="G24" s="23" t="s">
        <v>82</v>
      </c>
      <c r="H24" s="24" t="s">
        <v>53</v>
      </c>
      <c r="I24" s="22" t="s">
        <v>76</v>
      </c>
      <c r="J24" s="23" t="s">
        <v>77</v>
      </c>
      <c r="K24" s="24" t="s">
        <v>53</v>
      </c>
      <c r="L24" s="22" t="s">
        <v>76</v>
      </c>
      <c r="M24" s="23" t="s">
        <v>77</v>
      </c>
      <c r="N24" s="22" t="s">
        <v>76</v>
      </c>
      <c r="O24" s="22" t="s">
        <v>76</v>
      </c>
      <c r="P24" s="23" t="s">
        <v>105</v>
      </c>
    </row>
    <row r="25" spans="1:16" x14ac:dyDescent="0.35">
      <c r="A25" s="20" t="s">
        <v>103</v>
      </c>
      <c r="B25" s="25" t="s">
        <v>80</v>
      </c>
      <c r="C25" s="21" t="s">
        <v>93</v>
      </c>
      <c r="D25" s="23" t="s">
        <v>82</v>
      </c>
      <c r="E25" s="25" t="s">
        <v>80</v>
      </c>
      <c r="F25" s="21" t="s">
        <v>93</v>
      </c>
      <c r="G25" s="23" t="s">
        <v>82</v>
      </c>
      <c r="H25" s="24" t="s">
        <v>53</v>
      </c>
      <c r="I25" s="22" t="s">
        <v>76</v>
      </c>
      <c r="J25" s="23" t="s">
        <v>77</v>
      </c>
      <c r="K25" s="21" t="s">
        <v>93</v>
      </c>
      <c r="L25" s="22" t="s">
        <v>76</v>
      </c>
      <c r="M25" s="23" t="s">
        <v>77</v>
      </c>
      <c r="N25" s="22" t="s">
        <v>76</v>
      </c>
      <c r="O25" s="22" t="s">
        <v>76</v>
      </c>
      <c r="P25" s="23" t="s">
        <v>105</v>
      </c>
    </row>
    <row r="26" spans="1:16" x14ac:dyDescent="0.35">
      <c r="A26" s="20" t="s">
        <v>104</v>
      </c>
      <c r="B26" s="25" t="s">
        <v>80</v>
      </c>
      <c r="C26" s="22" t="s">
        <v>76</v>
      </c>
      <c r="D26" s="23" t="s">
        <v>123</v>
      </c>
      <c r="E26" s="25" t="s">
        <v>80</v>
      </c>
      <c r="F26" s="22" t="s">
        <v>76</v>
      </c>
      <c r="G26" s="23" t="s">
        <v>123</v>
      </c>
      <c r="H26" s="24" t="s">
        <v>53</v>
      </c>
      <c r="I26" s="22" t="s">
        <v>76</v>
      </c>
      <c r="J26" s="23" t="s">
        <v>77</v>
      </c>
      <c r="K26" s="22" t="s">
        <v>76</v>
      </c>
      <c r="L26" s="22" t="s">
        <v>76</v>
      </c>
      <c r="M26" s="23" t="s">
        <v>105</v>
      </c>
      <c r="N26" s="22" t="s">
        <v>76</v>
      </c>
      <c r="O26" s="22" t="s">
        <v>76</v>
      </c>
      <c r="P26" s="23" t="s">
        <v>105</v>
      </c>
    </row>
    <row r="27" spans="1:16" x14ac:dyDescent="0.35">
      <c r="A27" s="20" t="s">
        <v>106</v>
      </c>
      <c r="B27" s="22" t="s">
        <v>76</v>
      </c>
      <c r="C27" s="22" t="s">
        <v>76</v>
      </c>
      <c r="D27" s="23" t="s">
        <v>105</v>
      </c>
      <c r="E27" s="22" t="s">
        <v>76</v>
      </c>
      <c r="F27" s="22" t="s">
        <v>76</v>
      </c>
      <c r="G27" s="23" t="s">
        <v>105</v>
      </c>
      <c r="H27" s="21" t="s">
        <v>93</v>
      </c>
      <c r="I27" s="22" t="s">
        <v>76</v>
      </c>
      <c r="J27" s="23" t="s">
        <v>77</v>
      </c>
      <c r="K27" s="22" t="s">
        <v>76</v>
      </c>
      <c r="L27" s="22" t="s">
        <v>76</v>
      </c>
      <c r="M27" s="23" t="s">
        <v>105</v>
      </c>
      <c r="N27" s="22" t="s">
        <v>76</v>
      </c>
      <c r="O27" s="22" t="s">
        <v>76</v>
      </c>
      <c r="P27" s="23" t="s">
        <v>105</v>
      </c>
    </row>
    <row r="29" spans="1:16" x14ac:dyDescent="0.35">
      <c r="A29" s="45" t="s">
        <v>107</v>
      </c>
      <c r="B29" s="40"/>
      <c r="C29" s="40"/>
      <c r="D29" s="40"/>
      <c r="E29" s="40"/>
      <c r="F29" s="40"/>
      <c r="G29" s="40"/>
      <c r="H29" s="40"/>
    </row>
    <row r="30" spans="1:16" ht="26" x14ac:dyDescent="0.35">
      <c r="A30" s="28"/>
      <c r="B30" s="28" t="s">
        <v>108</v>
      </c>
      <c r="C30" s="28" t="s">
        <v>109</v>
      </c>
      <c r="D30" s="28" t="s">
        <v>110</v>
      </c>
      <c r="E30" s="28" t="s">
        <v>111</v>
      </c>
      <c r="F30" s="28" t="s">
        <v>112</v>
      </c>
      <c r="G30" s="28" t="s">
        <v>113</v>
      </c>
      <c r="H30" s="28" t="s">
        <v>114</v>
      </c>
    </row>
    <row r="31" spans="1:16" x14ac:dyDescent="0.35">
      <c r="A31" s="29" t="s">
        <v>71</v>
      </c>
      <c r="B31" s="30">
        <v>35</v>
      </c>
      <c r="C31" s="31">
        <v>96000</v>
      </c>
      <c r="D31" s="32">
        <f>B31/40</f>
        <v>0.875</v>
      </c>
      <c r="E31" s="31">
        <f>C31*D31/12</f>
        <v>7000</v>
      </c>
      <c r="F31" s="31">
        <f>C31*D31</f>
        <v>84000</v>
      </c>
      <c r="G31" s="31">
        <f>IF(E31&gt;=8000,E31*0.6,IF(E31&gt;=7000,E31*0.61,IF(E31&gt;=6000,E31*0.62,IF(E31&gt;=5000,E31*0.64,IF(E31&gt;=4000,E31*0.66,IF(E31&gt;=3000,E31*0.68,E31*0.7))))))</f>
        <v>4270</v>
      </c>
      <c r="H31" s="31">
        <f>G31*12</f>
        <v>51240</v>
      </c>
    </row>
    <row r="32" spans="1:16" ht="26" x14ac:dyDescent="0.35">
      <c r="A32" s="29" t="s">
        <v>115</v>
      </c>
      <c r="B32" s="30">
        <v>20</v>
      </c>
      <c r="C32" s="31">
        <v>84000</v>
      </c>
      <c r="D32" s="32">
        <f>B32/40</f>
        <v>0.5</v>
      </c>
      <c r="E32" s="31">
        <f>C32*D32/12</f>
        <v>3500</v>
      </c>
      <c r="F32" s="31">
        <f>C32*D32</f>
        <v>42000</v>
      </c>
      <c r="G32" s="31">
        <f>IF(E32&gt;=8000,E32*0.6,IF(E32&gt;=7000,E32*0.61,IF(E32&gt;=6000,E32*0.62,IF(E32&gt;=5000,E32*0.64,IF(E32&gt;=4000,E32*0.66,IF(E32&gt;=3000,E32*0.68,E32*0.7))))))</f>
        <v>2380</v>
      </c>
      <c r="H32" s="31">
        <f>G32*12</f>
        <v>28560</v>
      </c>
    </row>
    <row r="33" spans="1:9" ht="39" x14ac:dyDescent="0.35">
      <c r="A33" s="33" t="s">
        <v>116</v>
      </c>
      <c r="B33" s="34">
        <f>B31+B32</f>
        <v>55</v>
      </c>
      <c r="C33" s="33"/>
      <c r="D33" s="33"/>
      <c r="E33" s="35">
        <f>E31+E32</f>
        <v>10500</v>
      </c>
      <c r="F33" s="35">
        <f>F31+F32</f>
        <v>126000</v>
      </c>
      <c r="G33" s="35">
        <f>G31+G32</f>
        <v>6650</v>
      </c>
      <c r="H33" s="35">
        <f>H31+H32</f>
        <v>79800</v>
      </c>
    </row>
    <row r="35" spans="1:9" x14ac:dyDescent="0.35">
      <c r="A35" s="6" t="s">
        <v>117</v>
      </c>
      <c r="B35" s="36">
        <f>F33*0.7</f>
        <v>88200</v>
      </c>
    </row>
    <row r="36" spans="1:9" x14ac:dyDescent="0.35">
      <c r="A36" s="6" t="s">
        <v>153</v>
      </c>
      <c r="B36" s="38">
        <v>254</v>
      </c>
      <c r="I36" t="s">
        <v>202</v>
      </c>
    </row>
    <row r="37" spans="1:9" x14ac:dyDescent="0.35">
      <c r="A37" s="6" t="s">
        <v>137</v>
      </c>
      <c r="B37" s="37">
        <f>G33-B36</f>
        <v>6396</v>
      </c>
    </row>
    <row r="39" spans="1:9" x14ac:dyDescent="0.35">
      <c r="A39" s="39" t="s">
        <v>119</v>
      </c>
      <c r="B39" s="40"/>
      <c r="C39" s="40"/>
      <c r="D39" s="40"/>
      <c r="E39" s="40"/>
      <c r="F39" s="40"/>
      <c r="G39" s="40"/>
      <c r="H39" s="40"/>
    </row>
    <row r="40" spans="1:9" x14ac:dyDescent="0.35">
      <c r="A40" s="8" t="s">
        <v>154</v>
      </c>
    </row>
    <row r="43" spans="1:9" x14ac:dyDescent="0.35">
      <c r="A43" s="6" t="s">
        <v>52</v>
      </c>
    </row>
    <row r="44" spans="1:9" x14ac:dyDescent="0.35">
      <c r="A44" s="7"/>
      <c r="B44" s="39" t="s">
        <v>53</v>
      </c>
      <c r="C44" s="40"/>
      <c r="D44" s="40"/>
      <c r="E44" s="40"/>
    </row>
    <row r="45" spans="1:9" x14ac:dyDescent="0.35">
      <c r="A45" s="9"/>
      <c r="B45" s="39" t="s">
        <v>54</v>
      </c>
      <c r="C45" s="40"/>
      <c r="D45" s="40"/>
      <c r="E45" s="40"/>
    </row>
    <row r="46" spans="1:9" x14ac:dyDescent="0.35">
      <c r="A46" s="10"/>
      <c r="B46" s="39" t="s">
        <v>55</v>
      </c>
      <c r="C46" s="40"/>
      <c r="D46" s="40"/>
      <c r="E46" s="40"/>
    </row>
    <row r="47" spans="1:9" x14ac:dyDescent="0.35">
      <c r="A47" s="11"/>
      <c r="B47" s="39" t="s">
        <v>56</v>
      </c>
      <c r="C47" s="40"/>
      <c r="D47" s="40"/>
      <c r="E47" s="40"/>
    </row>
    <row r="48" spans="1:9" x14ac:dyDescent="0.35">
      <c r="A48" s="12"/>
      <c r="B48" s="39" t="s">
        <v>57</v>
      </c>
      <c r="C48" s="40"/>
      <c r="D48" s="40"/>
      <c r="E48" s="40"/>
    </row>
    <row r="49" spans="1:5" x14ac:dyDescent="0.35">
      <c r="A49" s="13"/>
      <c r="B49" s="39" t="s">
        <v>58</v>
      </c>
      <c r="C49" s="40"/>
      <c r="D49" s="40"/>
      <c r="E49" s="40"/>
    </row>
    <row r="50" spans="1:5" x14ac:dyDescent="0.35">
      <c r="A50" s="14"/>
      <c r="B50" s="39" t="s">
        <v>59</v>
      </c>
      <c r="C50" s="40"/>
      <c r="D50" s="40"/>
      <c r="E50" s="40"/>
    </row>
    <row r="51" spans="1:5" x14ac:dyDescent="0.35">
      <c r="A51" s="15"/>
      <c r="B51" s="39" t="s">
        <v>60</v>
      </c>
      <c r="C51" s="40"/>
      <c r="D51" s="40"/>
      <c r="E51" s="40"/>
    </row>
    <row r="52" spans="1:5" x14ac:dyDescent="0.35">
      <c r="A52" s="16"/>
      <c r="B52" s="39" t="s">
        <v>61</v>
      </c>
      <c r="C52" s="40"/>
      <c r="D52" s="40"/>
      <c r="E52" s="40"/>
    </row>
  </sheetData>
  <mergeCells count="19">
    <mergeCell ref="A1:P1"/>
    <mergeCell ref="H5:J5"/>
    <mergeCell ref="B52:E52"/>
    <mergeCell ref="B48:E48"/>
    <mergeCell ref="A29:H29"/>
    <mergeCell ref="E5:G5"/>
    <mergeCell ref="K5:M5"/>
    <mergeCell ref="B44:E44"/>
    <mergeCell ref="A2:P2"/>
    <mergeCell ref="A39:H39"/>
    <mergeCell ref="B49:E49"/>
    <mergeCell ref="N5:P5"/>
    <mergeCell ref="A4:P4"/>
    <mergeCell ref="B51:E51"/>
    <mergeCell ref="B45:E45"/>
    <mergeCell ref="B50:E50"/>
    <mergeCell ref="B47:E47"/>
    <mergeCell ref="B46:E46"/>
    <mergeCell ref="B5:D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52"/>
  <sheetViews>
    <sheetView workbookViewId="0"/>
  </sheetViews>
  <sheetFormatPr baseColWidth="10" defaultColWidth="8.7265625" defaultRowHeight="14.5" x14ac:dyDescent="0.35"/>
  <cols>
    <col min="1" max="1" width="8" customWidth="1"/>
    <col min="2" max="16" width="11" customWidth="1"/>
  </cols>
  <sheetData>
    <row r="1" spans="1:16" x14ac:dyDescent="0.35">
      <c r="A1" s="44" t="s">
        <v>155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35">
      <c r="A2" s="39" t="s">
        <v>156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16" x14ac:dyDescent="0.35">
      <c r="A4" s="43" t="s">
        <v>64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18" x14ac:dyDescent="0.35">
      <c r="A5" s="17" t="s">
        <v>65</v>
      </c>
      <c r="B5" s="42" t="s">
        <v>66</v>
      </c>
      <c r="C5" s="40"/>
      <c r="D5" s="40"/>
      <c r="E5" s="42" t="s">
        <v>67</v>
      </c>
      <c r="F5" s="40"/>
      <c r="G5" s="40"/>
      <c r="H5" s="42" t="s">
        <v>68</v>
      </c>
      <c r="I5" s="40"/>
      <c r="J5" s="40"/>
      <c r="K5" s="42" t="s">
        <v>69</v>
      </c>
      <c r="L5" s="40"/>
      <c r="M5" s="40"/>
      <c r="N5" s="42" t="s">
        <v>70</v>
      </c>
      <c r="O5" s="40"/>
      <c r="P5" s="40"/>
    </row>
    <row r="6" spans="1:16" x14ac:dyDescent="0.35">
      <c r="A6" s="18"/>
      <c r="B6" s="19" t="s">
        <v>71</v>
      </c>
      <c r="C6" s="19" t="s">
        <v>72</v>
      </c>
      <c r="D6" s="19" t="s">
        <v>73</v>
      </c>
      <c r="E6" s="19" t="s">
        <v>71</v>
      </c>
      <c r="F6" s="19" t="s">
        <v>72</v>
      </c>
      <c r="G6" s="19" t="s">
        <v>73</v>
      </c>
      <c r="H6" s="19" t="s">
        <v>71</v>
      </c>
      <c r="I6" s="19" t="s">
        <v>72</v>
      </c>
      <c r="J6" s="19" t="s">
        <v>73</v>
      </c>
      <c r="K6" s="19" t="s">
        <v>71</v>
      </c>
      <c r="L6" s="19" t="s">
        <v>72</v>
      </c>
      <c r="M6" s="19" t="s">
        <v>73</v>
      </c>
      <c r="N6" s="19" t="s">
        <v>71</v>
      </c>
      <c r="O6" s="19" t="s">
        <v>72</v>
      </c>
      <c r="P6" s="19" t="s">
        <v>73</v>
      </c>
    </row>
    <row r="7" spans="1:16" x14ac:dyDescent="0.35">
      <c r="A7" s="20" t="s">
        <v>74</v>
      </c>
      <c r="B7" s="22" t="s">
        <v>76</v>
      </c>
      <c r="C7" s="21" t="s">
        <v>75</v>
      </c>
      <c r="D7" s="23" t="s">
        <v>135</v>
      </c>
      <c r="E7" s="22" t="s">
        <v>76</v>
      </c>
      <c r="F7" s="21" t="s">
        <v>75</v>
      </c>
      <c r="G7" s="23" t="s">
        <v>135</v>
      </c>
      <c r="H7" s="21" t="s">
        <v>75</v>
      </c>
      <c r="I7" s="22" t="s">
        <v>76</v>
      </c>
      <c r="J7" s="23" t="s">
        <v>77</v>
      </c>
      <c r="K7" s="21" t="s">
        <v>75</v>
      </c>
      <c r="L7" s="22" t="s">
        <v>76</v>
      </c>
      <c r="M7" s="23" t="s">
        <v>77</v>
      </c>
      <c r="N7" s="22" t="s">
        <v>76</v>
      </c>
      <c r="O7" s="22" t="s">
        <v>76</v>
      </c>
      <c r="P7" s="23" t="s">
        <v>105</v>
      </c>
    </row>
    <row r="8" spans="1:16" x14ac:dyDescent="0.35">
      <c r="A8" s="20" t="s">
        <v>79</v>
      </c>
      <c r="B8" s="25" t="s">
        <v>80</v>
      </c>
      <c r="C8" s="24" t="s">
        <v>53</v>
      </c>
      <c r="D8" s="23" t="s">
        <v>135</v>
      </c>
      <c r="E8" s="25" t="s">
        <v>80</v>
      </c>
      <c r="F8" s="24" t="s">
        <v>53</v>
      </c>
      <c r="G8" s="23" t="s">
        <v>135</v>
      </c>
      <c r="H8" s="24" t="s">
        <v>53</v>
      </c>
      <c r="I8" s="22" t="s">
        <v>76</v>
      </c>
      <c r="J8" s="23" t="s">
        <v>77</v>
      </c>
      <c r="K8" s="24" t="s">
        <v>53</v>
      </c>
      <c r="L8" s="25" t="s">
        <v>80</v>
      </c>
      <c r="M8" s="23" t="s">
        <v>81</v>
      </c>
      <c r="N8" s="22" t="s">
        <v>76</v>
      </c>
      <c r="O8" s="22" t="s">
        <v>76</v>
      </c>
      <c r="P8" s="23" t="s">
        <v>105</v>
      </c>
    </row>
    <row r="9" spans="1:16" x14ac:dyDescent="0.35">
      <c r="A9" s="20" t="s">
        <v>83</v>
      </c>
      <c r="B9" s="25" t="s">
        <v>80</v>
      </c>
      <c r="C9" s="24" t="s">
        <v>53</v>
      </c>
      <c r="D9" s="23" t="s">
        <v>135</v>
      </c>
      <c r="E9" s="25" t="s">
        <v>80</v>
      </c>
      <c r="F9" s="24" t="s">
        <v>53</v>
      </c>
      <c r="G9" s="23" t="s">
        <v>135</v>
      </c>
      <c r="H9" s="24" t="s">
        <v>53</v>
      </c>
      <c r="I9" s="22" t="s">
        <v>76</v>
      </c>
      <c r="J9" s="23" t="s">
        <v>77</v>
      </c>
      <c r="K9" s="24" t="s">
        <v>53</v>
      </c>
      <c r="L9" s="25" t="s">
        <v>80</v>
      </c>
      <c r="M9" s="23" t="s">
        <v>81</v>
      </c>
      <c r="N9" s="22" t="s">
        <v>76</v>
      </c>
      <c r="O9" s="22" t="s">
        <v>76</v>
      </c>
      <c r="P9" s="23" t="s">
        <v>105</v>
      </c>
    </row>
    <row r="10" spans="1:16" x14ac:dyDescent="0.35">
      <c r="A10" s="20" t="s">
        <v>84</v>
      </c>
      <c r="B10" s="25" t="s">
        <v>80</v>
      </c>
      <c r="C10" s="24" t="s">
        <v>53</v>
      </c>
      <c r="D10" s="23" t="s">
        <v>135</v>
      </c>
      <c r="E10" s="25" t="s">
        <v>80</v>
      </c>
      <c r="F10" s="24" t="s">
        <v>53</v>
      </c>
      <c r="G10" s="23" t="s">
        <v>135</v>
      </c>
      <c r="H10" s="24" t="s">
        <v>53</v>
      </c>
      <c r="I10" s="22" t="s">
        <v>76</v>
      </c>
      <c r="J10" s="23" t="s">
        <v>77</v>
      </c>
      <c r="K10" s="24" t="s">
        <v>53</v>
      </c>
      <c r="L10" s="25" t="s">
        <v>80</v>
      </c>
      <c r="M10" s="23" t="s">
        <v>81</v>
      </c>
      <c r="N10" s="22" t="s">
        <v>76</v>
      </c>
      <c r="O10" s="22" t="s">
        <v>76</v>
      </c>
      <c r="P10" s="23" t="s">
        <v>105</v>
      </c>
    </row>
    <row r="11" spans="1:16" x14ac:dyDescent="0.35">
      <c r="A11" s="20" t="s">
        <v>85</v>
      </c>
      <c r="B11" s="25" t="s">
        <v>80</v>
      </c>
      <c r="C11" s="24" t="s">
        <v>53</v>
      </c>
      <c r="D11" s="23" t="s">
        <v>135</v>
      </c>
      <c r="E11" s="25" t="s">
        <v>80</v>
      </c>
      <c r="F11" s="24" t="s">
        <v>53</v>
      </c>
      <c r="G11" s="23" t="s">
        <v>135</v>
      </c>
      <c r="H11" s="24" t="s">
        <v>53</v>
      </c>
      <c r="I11" s="22" t="s">
        <v>76</v>
      </c>
      <c r="J11" s="23" t="s">
        <v>77</v>
      </c>
      <c r="K11" s="24" t="s">
        <v>53</v>
      </c>
      <c r="L11" s="25" t="s">
        <v>80</v>
      </c>
      <c r="M11" s="23" t="s">
        <v>81</v>
      </c>
      <c r="N11" s="22" t="s">
        <v>76</v>
      </c>
      <c r="O11" s="22" t="s">
        <v>76</v>
      </c>
      <c r="P11" s="23" t="s">
        <v>105</v>
      </c>
    </row>
    <row r="12" spans="1:16" x14ac:dyDescent="0.35">
      <c r="A12" s="20" t="s">
        <v>86</v>
      </c>
      <c r="B12" s="25" t="s">
        <v>80</v>
      </c>
      <c r="C12" s="24" t="s">
        <v>53</v>
      </c>
      <c r="D12" s="23" t="s">
        <v>135</v>
      </c>
      <c r="E12" s="25" t="s">
        <v>80</v>
      </c>
      <c r="F12" s="24" t="s">
        <v>53</v>
      </c>
      <c r="G12" s="23" t="s">
        <v>135</v>
      </c>
      <c r="H12" s="24" t="s">
        <v>53</v>
      </c>
      <c r="I12" s="22" t="s">
        <v>76</v>
      </c>
      <c r="J12" s="23" t="s">
        <v>77</v>
      </c>
      <c r="K12" s="24" t="s">
        <v>53</v>
      </c>
      <c r="L12" s="25" t="s">
        <v>80</v>
      </c>
      <c r="M12" s="23" t="s">
        <v>81</v>
      </c>
      <c r="N12" s="22" t="s">
        <v>76</v>
      </c>
      <c r="O12" s="22" t="s">
        <v>76</v>
      </c>
      <c r="P12" s="23" t="s">
        <v>105</v>
      </c>
    </row>
    <row r="13" spans="1:16" x14ac:dyDescent="0.35">
      <c r="A13" s="20" t="s">
        <v>87</v>
      </c>
      <c r="B13" s="25" t="s">
        <v>80</v>
      </c>
      <c r="C13" s="24" t="s">
        <v>53</v>
      </c>
      <c r="D13" s="23" t="s">
        <v>135</v>
      </c>
      <c r="E13" s="25" t="s">
        <v>80</v>
      </c>
      <c r="F13" s="24" t="s">
        <v>53</v>
      </c>
      <c r="G13" s="23" t="s">
        <v>135</v>
      </c>
      <c r="H13" s="24" t="s">
        <v>53</v>
      </c>
      <c r="I13" s="22" t="s">
        <v>76</v>
      </c>
      <c r="J13" s="23" t="s">
        <v>77</v>
      </c>
      <c r="K13" s="24" t="s">
        <v>53</v>
      </c>
      <c r="L13" s="25" t="s">
        <v>80</v>
      </c>
      <c r="M13" s="23" t="s">
        <v>81</v>
      </c>
      <c r="N13" s="22" t="s">
        <v>76</v>
      </c>
      <c r="O13" s="22" t="s">
        <v>76</v>
      </c>
      <c r="P13" s="23" t="s">
        <v>105</v>
      </c>
    </row>
    <row r="14" spans="1:16" x14ac:dyDescent="0.35">
      <c r="A14" s="20" t="s">
        <v>88</v>
      </c>
      <c r="B14" s="25" t="s">
        <v>80</v>
      </c>
      <c r="C14" s="24" t="s">
        <v>53</v>
      </c>
      <c r="D14" s="23" t="s">
        <v>135</v>
      </c>
      <c r="E14" s="25" t="s">
        <v>80</v>
      </c>
      <c r="F14" s="24" t="s">
        <v>53</v>
      </c>
      <c r="G14" s="23" t="s">
        <v>135</v>
      </c>
      <c r="H14" s="24" t="s">
        <v>53</v>
      </c>
      <c r="I14" s="22" t="s">
        <v>76</v>
      </c>
      <c r="J14" s="23" t="s">
        <v>77</v>
      </c>
      <c r="K14" s="24" t="s">
        <v>53</v>
      </c>
      <c r="L14" s="25" t="s">
        <v>80</v>
      </c>
      <c r="M14" s="23" t="s">
        <v>81</v>
      </c>
      <c r="N14" s="22" t="s">
        <v>76</v>
      </c>
      <c r="O14" s="22" t="s">
        <v>76</v>
      </c>
      <c r="P14" s="23" t="s">
        <v>105</v>
      </c>
    </row>
    <row r="15" spans="1:16" x14ac:dyDescent="0.35">
      <c r="A15" s="20" t="s">
        <v>89</v>
      </c>
      <c r="B15" s="25" t="s">
        <v>80</v>
      </c>
      <c r="C15" s="24" t="s">
        <v>53</v>
      </c>
      <c r="D15" s="23" t="s">
        <v>135</v>
      </c>
      <c r="E15" s="25" t="s">
        <v>80</v>
      </c>
      <c r="F15" s="24" t="s">
        <v>53</v>
      </c>
      <c r="G15" s="23" t="s">
        <v>135</v>
      </c>
      <c r="H15" s="24" t="s">
        <v>53</v>
      </c>
      <c r="I15" s="22" t="s">
        <v>76</v>
      </c>
      <c r="J15" s="23" t="s">
        <v>77</v>
      </c>
      <c r="K15" s="24" t="s">
        <v>53</v>
      </c>
      <c r="L15" s="25" t="s">
        <v>80</v>
      </c>
      <c r="M15" s="23" t="s">
        <v>81</v>
      </c>
      <c r="N15" s="22" t="s">
        <v>76</v>
      </c>
      <c r="O15" s="22" t="s">
        <v>76</v>
      </c>
      <c r="P15" s="23" t="s">
        <v>105</v>
      </c>
    </row>
    <row r="16" spans="1:16" x14ac:dyDescent="0.35">
      <c r="A16" s="20" t="s">
        <v>90</v>
      </c>
      <c r="B16" s="27" t="s">
        <v>91</v>
      </c>
      <c r="C16" s="26" t="s">
        <v>91</v>
      </c>
      <c r="D16" s="23" t="s">
        <v>135</v>
      </c>
      <c r="E16" s="27" t="s">
        <v>91</v>
      </c>
      <c r="F16" s="26" t="s">
        <v>91</v>
      </c>
      <c r="G16" s="23" t="s">
        <v>135</v>
      </c>
      <c r="H16" s="26" t="s">
        <v>91</v>
      </c>
      <c r="I16" s="22" t="s">
        <v>76</v>
      </c>
      <c r="J16" s="23" t="s">
        <v>77</v>
      </c>
      <c r="K16" s="26" t="s">
        <v>91</v>
      </c>
      <c r="L16" s="22" t="s">
        <v>76</v>
      </c>
      <c r="M16" s="23" t="s">
        <v>77</v>
      </c>
      <c r="N16" s="22" t="s">
        <v>76</v>
      </c>
      <c r="O16" s="22" t="s">
        <v>76</v>
      </c>
      <c r="P16" s="23" t="s">
        <v>105</v>
      </c>
    </row>
    <row r="17" spans="1:16" x14ac:dyDescent="0.35">
      <c r="A17" s="20" t="s">
        <v>95</v>
      </c>
      <c r="B17" s="25" t="s">
        <v>80</v>
      </c>
      <c r="C17" s="24" t="s">
        <v>53</v>
      </c>
      <c r="D17" s="23" t="s">
        <v>135</v>
      </c>
      <c r="E17" s="25" t="s">
        <v>80</v>
      </c>
      <c r="F17" s="24" t="s">
        <v>53</v>
      </c>
      <c r="G17" s="23" t="s">
        <v>135</v>
      </c>
      <c r="H17" s="24" t="s">
        <v>53</v>
      </c>
      <c r="I17" s="22" t="s">
        <v>76</v>
      </c>
      <c r="J17" s="23" t="s">
        <v>77</v>
      </c>
      <c r="K17" s="24" t="s">
        <v>53</v>
      </c>
      <c r="L17" s="22" t="s">
        <v>76</v>
      </c>
      <c r="M17" s="23" t="s">
        <v>77</v>
      </c>
      <c r="N17" s="22" t="s">
        <v>76</v>
      </c>
      <c r="O17" s="22" t="s">
        <v>76</v>
      </c>
      <c r="P17" s="23" t="s">
        <v>105</v>
      </c>
    </row>
    <row r="18" spans="1:16" x14ac:dyDescent="0.35">
      <c r="A18" s="20" t="s">
        <v>96</v>
      </c>
      <c r="B18" s="25" t="s">
        <v>80</v>
      </c>
      <c r="C18" s="24" t="s">
        <v>53</v>
      </c>
      <c r="D18" s="23" t="s">
        <v>135</v>
      </c>
      <c r="E18" s="25" t="s">
        <v>80</v>
      </c>
      <c r="F18" s="24" t="s">
        <v>53</v>
      </c>
      <c r="G18" s="23" t="s">
        <v>135</v>
      </c>
      <c r="H18" s="24" t="s">
        <v>53</v>
      </c>
      <c r="I18" s="22" t="s">
        <v>76</v>
      </c>
      <c r="J18" s="23" t="s">
        <v>77</v>
      </c>
      <c r="K18" s="24" t="s">
        <v>53</v>
      </c>
      <c r="L18" s="22" t="s">
        <v>76</v>
      </c>
      <c r="M18" s="23" t="s">
        <v>77</v>
      </c>
      <c r="N18" s="22" t="s">
        <v>76</v>
      </c>
      <c r="O18" s="22" t="s">
        <v>76</v>
      </c>
      <c r="P18" s="23" t="s">
        <v>105</v>
      </c>
    </row>
    <row r="19" spans="1:16" x14ac:dyDescent="0.35">
      <c r="A19" s="20" t="s">
        <v>97</v>
      </c>
      <c r="B19" s="25" t="s">
        <v>80</v>
      </c>
      <c r="C19" s="24" t="s">
        <v>53</v>
      </c>
      <c r="D19" s="23" t="s">
        <v>135</v>
      </c>
      <c r="E19" s="25" t="s">
        <v>80</v>
      </c>
      <c r="F19" s="24" t="s">
        <v>53</v>
      </c>
      <c r="G19" s="23" t="s">
        <v>135</v>
      </c>
      <c r="H19" s="24" t="s">
        <v>53</v>
      </c>
      <c r="I19" s="22" t="s">
        <v>76</v>
      </c>
      <c r="J19" s="23" t="s">
        <v>77</v>
      </c>
      <c r="K19" s="24" t="s">
        <v>53</v>
      </c>
      <c r="L19" s="22" t="s">
        <v>76</v>
      </c>
      <c r="M19" s="23" t="s">
        <v>77</v>
      </c>
      <c r="N19" s="22" t="s">
        <v>76</v>
      </c>
      <c r="O19" s="22" t="s">
        <v>76</v>
      </c>
      <c r="P19" s="23" t="s">
        <v>105</v>
      </c>
    </row>
    <row r="20" spans="1:16" x14ac:dyDescent="0.35">
      <c r="A20" s="20" t="s">
        <v>98</v>
      </c>
      <c r="B20" s="25" t="s">
        <v>80</v>
      </c>
      <c r="C20" s="24" t="s">
        <v>53</v>
      </c>
      <c r="D20" s="23" t="s">
        <v>135</v>
      </c>
      <c r="E20" s="25" t="s">
        <v>80</v>
      </c>
      <c r="F20" s="24" t="s">
        <v>53</v>
      </c>
      <c r="G20" s="23" t="s">
        <v>135</v>
      </c>
      <c r="H20" s="24" t="s">
        <v>53</v>
      </c>
      <c r="I20" s="22" t="s">
        <v>76</v>
      </c>
      <c r="J20" s="23" t="s">
        <v>77</v>
      </c>
      <c r="K20" s="24" t="s">
        <v>53</v>
      </c>
      <c r="L20" s="22" t="s">
        <v>76</v>
      </c>
      <c r="M20" s="23" t="s">
        <v>77</v>
      </c>
      <c r="N20" s="22" t="s">
        <v>76</v>
      </c>
      <c r="O20" s="22" t="s">
        <v>76</v>
      </c>
      <c r="P20" s="23" t="s">
        <v>105</v>
      </c>
    </row>
    <row r="21" spans="1:16" x14ac:dyDescent="0.35">
      <c r="A21" s="20" t="s">
        <v>99</v>
      </c>
      <c r="B21" s="25" t="s">
        <v>80</v>
      </c>
      <c r="C21" s="24" t="s">
        <v>53</v>
      </c>
      <c r="D21" s="23" t="s">
        <v>135</v>
      </c>
      <c r="E21" s="25" t="s">
        <v>80</v>
      </c>
      <c r="F21" s="24" t="s">
        <v>53</v>
      </c>
      <c r="G21" s="23" t="s">
        <v>135</v>
      </c>
      <c r="H21" s="24" t="s">
        <v>53</v>
      </c>
      <c r="I21" s="22" t="s">
        <v>76</v>
      </c>
      <c r="J21" s="23" t="s">
        <v>77</v>
      </c>
      <c r="K21" s="24" t="s">
        <v>53</v>
      </c>
      <c r="L21" s="22" t="s">
        <v>76</v>
      </c>
      <c r="M21" s="23" t="s">
        <v>77</v>
      </c>
      <c r="N21" s="22" t="s">
        <v>76</v>
      </c>
      <c r="O21" s="22" t="s">
        <v>76</v>
      </c>
      <c r="P21" s="23" t="s">
        <v>105</v>
      </c>
    </row>
    <row r="22" spans="1:16" x14ac:dyDescent="0.35">
      <c r="A22" s="20" t="s">
        <v>100</v>
      </c>
      <c r="B22" s="25" t="s">
        <v>80</v>
      </c>
      <c r="C22" s="24" t="s">
        <v>53</v>
      </c>
      <c r="D22" s="23" t="s">
        <v>135</v>
      </c>
      <c r="E22" s="25" t="s">
        <v>80</v>
      </c>
      <c r="F22" s="24" t="s">
        <v>53</v>
      </c>
      <c r="G22" s="23" t="s">
        <v>135</v>
      </c>
      <c r="H22" s="24" t="s">
        <v>53</v>
      </c>
      <c r="I22" s="22" t="s">
        <v>76</v>
      </c>
      <c r="J22" s="23" t="s">
        <v>77</v>
      </c>
      <c r="K22" s="24" t="s">
        <v>53</v>
      </c>
      <c r="L22" s="22" t="s">
        <v>76</v>
      </c>
      <c r="M22" s="23" t="s">
        <v>77</v>
      </c>
      <c r="N22" s="22" t="s">
        <v>76</v>
      </c>
      <c r="O22" s="22" t="s">
        <v>76</v>
      </c>
      <c r="P22" s="23" t="s">
        <v>105</v>
      </c>
    </row>
    <row r="23" spans="1:16" x14ac:dyDescent="0.35">
      <c r="A23" s="20" t="s">
        <v>101</v>
      </c>
      <c r="B23" s="25" t="s">
        <v>80</v>
      </c>
      <c r="C23" s="24" t="s">
        <v>53</v>
      </c>
      <c r="D23" s="23" t="s">
        <v>82</v>
      </c>
      <c r="E23" s="25" t="s">
        <v>80</v>
      </c>
      <c r="F23" s="24" t="s">
        <v>53</v>
      </c>
      <c r="G23" s="23" t="s">
        <v>82</v>
      </c>
      <c r="H23" s="24" t="s">
        <v>53</v>
      </c>
      <c r="I23" s="22" t="s">
        <v>76</v>
      </c>
      <c r="J23" s="23" t="s">
        <v>77</v>
      </c>
      <c r="K23" s="24" t="s">
        <v>53</v>
      </c>
      <c r="L23" s="22" t="s">
        <v>76</v>
      </c>
      <c r="M23" s="23" t="s">
        <v>77</v>
      </c>
      <c r="N23" s="22" t="s">
        <v>76</v>
      </c>
      <c r="O23" s="22" t="s">
        <v>76</v>
      </c>
      <c r="P23" s="23" t="s">
        <v>105</v>
      </c>
    </row>
    <row r="24" spans="1:16" x14ac:dyDescent="0.35">
      <c r="A24" s="20" t="s">
        <v>102</v>
      </c>
      <c r="B24" s="25" t="s">
        <v>80</v>
      </c>
      <c r="C24" s="24" t="s">
        <v>53</v>
      </c>
      <c r="D24" s="23" t="s">
        <v>82</v>
      </c>
      <c r="E24" s="25" t="s">
        <v>80</v>
      </c>
      <c r="F24" s="24" t="s">
        <v>53</v>
      </c>
      <c r="G24" s="23" t="s">
        <v>82</v>
      </c>
      <c r="H24" s="24" t="s">
        <v>53</v>
      </c>
      <c r="I24" s="22" t="s">
        <v>76</v>
      </c>
      <c r="J24" s="23" t="s">
        <v>77</v>
      </c>
      <c r="K24" s="24" t="s">
        <v>53</v>
      </c>
      <c r="L24" s="22" t="s">
        <v>76</v>
      </c>
      <c r="M24" s="23" t="s">
        <v>77</v>
      </c>
      <c r="N24" s="22" t="s">
        <v>76</v>
      </c>
      <c r="O24" s="22" t="s">
        <v>76</v>
      </c>
      <c r="P24" s="23" t="s">
        <v>105</v>
      </c>
    </row>
    <row r="25" spans="1:16" x14ac:dyDescent="0.35">
      <c r="A25" s="20" t="s">
        <v>103</v>
      </c>
      <c r="B25" s="25" t="s">
        <v>80</v>
      </c>
      <c r="C25" s="21" t="s">
        <v>93</v>
      </c>
      <c r="D25" s="23" t="s">
        <v>82</v>
      </c>
      <c r="E25" s="25" t="s">
        <v>80</v>
      </c>
      <c r="F25" s="21" t="s">
        <v>93</v>
      </c>
      <c r="G25" s="23" t="s">
        <v>82</v>
      </c>
      <c r="H25" s="24" t="s">
        <v>53</v>
      </c>
      <c r="I25" s="22" t="s">
        <v>76</v>
      </c>
      <c r="J25" s="23" t="s">
        <v>77</v>
      </c>
      <c r="K25" s="21" t="s">
        <v>93</v>
      </c>
      <c r="L25" s="22" t="s">
        <v>76</v>
      </c>
      <c r="M25" s="23" t="s">
        <v>77</v>
      </c>
      <c r="N25" s="22" t="s">
        <v>76</v>
      </c>
      <c r="O25" s="22" t="s">
        <v>76</v>
      </c>
      <c r="P25" s="23" t="s">
        <v>105</v>
      </c>
    </row>
    <row r="26" spans="1:16" x14ac:dyDescent="0.35">
      <c r="A26" s="20" t="s">
        <v>104</v>
      </c>
      <c r="B26" s="25" t="s">
        <v>80</v>
      </c>
      <c r="C26" s="22" t="s">
        <v>76</v>
      </c>
      <c r="D26" s="23" t="s">
        <v>123</v>
      </c>
      <c r="E26" s="25" t="s">
        <v>80</v>
      </c>
      <c r="F26" s="22" t="s">
        <v>76</v>
      </c>
      <c r="G26" s="23" t="s">
        <v>123</v>
      </c>
      <c r="H26" s="24" t="s">
        <v>53</v>
      </c>
      <c r="I26" s="22" t="s">
        <v>76</v>
      </c>
      <c r="J26" s="23" t="s">
        <v>77</v>
      </c>
      <c r="K26" s="22" t="s">
        <v>76</v>
      </c>
      <c r="L26" s="22" t="s">
        <v>76</v>
      </c>
      <c r="M26" s="23" t="s">
        <v>105</v>
      </c>
      <c r="N26" s="22" t="s">
        <v>76</v>
      </c>
      <c r="O26" s="22" t="s">
        <v>76</v>
      </c>
      <c r="P26" s="23" t="s">
        <v>105</v>
      </c>
    </row>
    <row r="27" spans="1:16" x14ac:dyDescent="0.35">
      <c r="A27" s="20" t="s">
        <v>106</v>
      </c>
      <c r="B27" s="22" t="s">
        <v>76</v>
      </c>
      <c r="C27" s="22" t="s">
        <v>76</v>
      </c>
      <c r="D27" s="23" t="s">
        <v>105</v>
      </c>
      <c r="E27" s="22" t="s">
        <v>76</v>
      </c>
      <c r="F27" s="22" t="s">
        <v>76</v>
      </c>
      <c r="G27" s="23" t="s">
        <v>105</v>
      </c>
      <c r="H27" s="21" t="s">
        <v>93</v>
      </c>
      <c r="I27" s="22" t="s">
        <v>76</v>
      </c>
      <c r="J27" s="23" t="s">
        <v>77</v>
      </c>
      <c r="K27" s="22" t="s">
        <v>76</v>
      </c>
      <c r="L27" s="22" t="s">
        <v>76</v>
      </c>
      <c r="M27" s="23" t="s">
        <v>105</v>
      </c>
      <c r="N27" s="22" t="s">
        <v>76</v>
      </c>
      <c r="O27" s="22" t="s">
        <v>76</v>
      </c>
      <c r="P27" s="23" t="s">
        <v>105</v>
      </c>
    </row>
    <row r="29" spans="1:16" x14ac:dyDescent="0.35">
      <c r="A29" s="45" t="s">
        <v>107</v>
      </c>
      <c r="B29" s="40"/>
      <c r="C29" s="40"/>
      <c r="D29" s="40"/>
      <c r="E29" s="40"/>
      <c r="F29" s="40"/>
      <c r="G29" s="40"/>
      <c r="H29" s="40"/>
    </row>
    <row r="30" spans="1:16" ht="26" x14ac:dyDescent="0.35">
      <c r="A30" s="28"/>
      <c r="B30" s="28" t="s">
        <v>108</v>
      </c>
      <c r="C30" s="28" t="s">
        <v>109</v>
      </c>
      <c r="D30" s="28" t="s">
        <v>110</v>
      </c>
      <c r="E30" s="28" t="s">
        <v>111</v>
      </c>
      <c r="F30" s="28" t="s">
        <v>112</v>
      </c>
      <c r="G30" s="28" t="s">
        <v>113</v>
      </c>
      <c r="H30" s="28" t="s">
        <v>114</v>
      </c>
    </row>
    <row r="31" spans="1:16" x14ac:dyDescent="0.35">
      <c r="A31" s="29" t="s">
        <v>71</v>
      </c>
      <c r="B31" s="30">
        <v>35</v>
      </c>
      <c r="C31" s="31">
        <v>96000</v>
      </c>
      <c r="D31" s="32">
        <f>B31/40</f>
        <v>0.875</v>
      </c>
      <c r="E31" s="31">
        <f>C31*D31/12</f>
        <v>7000</v>
      </c>
      <c r="F31" s="31">
        <f>C31*D31</f>
        <v>84000</v>
      </c>
      <c r="G31" s="31">
        <f>IF(E31&gt;=8000,E31*0.6,IF(E31&gt;=7000,E31*0.61,IF(E31&gt;=6000,E31*0.62,IF(E31&gt;=5000,E31*0.64,IF(E31&gt;=4000,E31*0.66,IF(E31&gt;=3000,E31*0.68,E31*0.7))))))</f>
        <v>4270</v>
      </c>
      <c r="H31" s="31">
        <f>G31*12</f>
        <v>51240</v>
      </c>
    </row>
    <row r="32" spans="1:16" ht="26" x14ac:dyDescent="0.35">
      <c r="A32" s="29" t="s">
        <v>115</v>
      </c>
      <c r="B32" s="30">
        <v>20</v>
      </c>
      <c r="C32" s="31">
        <v>84000</v>
      </c>
      <c r="D32" s="32">
        <f>B32/40</f>
        <v>0.5</v>
      </c>
      <c r="E32" s="31">
        <f>C32*D32/12</f>
        <v>3500</v>
      </c>
      <c r="F32" s="31">
        <f>C32*D32</f>
        <v>42000</v>
      </c>
      <c r="G32" s="31">
        <f>IF(E32&gt;=8000,E32*0.6,IF(E32&gt;=7000,E32*0.61,IF(E32&gt;=6000,E32*0.62,IF(E32&gt;=5000,E32*0.64,IF(E32&gt;=4000,E32*0.66,IF(E32&gt;=3000,E32*0.68,E32*0.7))))))</f>
        <v>2380</v>
      </c>
      <c r="H32" s="31">
        <f>G32*12</f>
        <v>28560</v>
      </c>
    </row>
    <row r="33" spans="1:8" ht="39" x14ac:dyDescent="0.35">
      <c r="A33" s="33" t="s">
        <v>116</v>
      </c>
      <c r="B33" s="34">
        <f>B31+B32</f>
        <v>55</v>
      </c>
      <c r="C33" s="33"/>
      <c r="D33" s="33"/>
      <c r="E33" s="35">
        <f>E31+E32</f>
        <v>10500</v>
      </c>
      <c r="F33" s="35">
        <f>F31+F32</f>
        <v>126000</v>
      </c>
      <c r="G33" s="35">
        <f>G31+G32</f>
        <v>6650</v>
      </c>
      <c r="H33" s="35">
        <f>H31+H32</f>
        <v>79800</v>
      </c>
    </row>
    <row r="35" spans="1:8" x14ac:dyDescent="0.35">
      <c r="A35" s="6" t="s">
        <v>117</v>
      </c>
      <c r="B35" s="36">
        <f>F33*0.7</f>
        <v>88200</v>
      </c>
    </row>
    <row r="36" spans="1:8" x14ac:dyDescent="0.35">
      <c r="A36" s="6" t="s">
        <v>157</v>
      </c>
      <c r="B36" s="38">
        <v>197</v>
      </c>
    </row>
    <row r="37" spans="1:8" x14ac:dyDescent="0.35">
      <c r="A37" s="6" t="s">
        <v>137</v>
      </c>
      <c r="B37" s="37">
        <f>G33-B36</f>
        <v>6453</v>
      </c>
    </row>
    <row r="39" spans="1:8" x14ac:dyDescent="0.35">
      <c r="A39" s="39" t="s">
        <v>119</v>
      </c>
      <c r="B39" s="40"/>
      <c r="C39" s="40"/>
      <c r="D39" s="40"/>
      <c r="E39" s="40"/>
      <c r="F39" s="40"/>
      <c r="G39" s="40"/>
      <c r="H39" s="40"/>
    </row>
    <row r="40" spans="1:8" x14ac:dyDescent="0.35">
      <c r="A40" s="8" t="s">
        <v>158</v>
      </c>
    </row>
    <row r="43" spans="1:8" x14ac:dyDescent="0.35">
      <c r="A43" s="6" t="s">
        <v>52</v>
      </c>
    </row>
    <row r="44" spans="1:8" x14ac:dyDescent="0.35">
      <c r="A44" s="7"/>
      <c r="B44" s="39" t="s">
        <v>53</v>
      </c>
      <c r="C44" s="40"/>
      <c r="D44" s="40"/>
      <c r="E44" s="40"/>
    </row>
    <row r="45" spans="1:8" x14ac:dyDescent="0.35">
      <c r="A45" s="9"/>
      <c r="B45" s="39" t="s">
        <v>54</v>
      </c>
      <c r="C45" s="40"/>
      <c r="D45" s="40"/>
      <c r="E45" s="40"/>
    </row>
    <row r="46" spans="1:8" x14ac:dyDescent="0.35">
      <c r="A46" s="10"/>
      <c r="B46" s="39" t="s">
        <v>55</v>
      </c>
      <c r="C46" s="40"/>
      <c r="D46" s="40"/>
      <c r="E46" s="40"/>
    </row>
    <row r="47" spans="1:8" x14ac:dyDescent="0.35">
      <c r="A47" s="11"/>
      <c r="B47" s="39" t="s">
        <v>56</v>
      </c>
      <c r="C47" s="40"/>
      <c r="D47" s="40"/>
      <c r="E47" s="40"/>
    </row>
    <row r="48" spans="1:8" x14ac:dyDescent="0.35">
      <c r="A48" s="12"/>
      <c r="B48" s="39" t="s">
        <v>57</v>
      </c>
      <c r="C48" s="40"/>
      <c r="D48" s="40"/>
      <c r="E48" s="40"/>
    </row>
    <row r="49" spans="1:5" x14ac:dyDescent="0.35">
      <c r="A49" s="13"/>
      <c r="B49" s="39" t="s">
        <v>58</v>
      </c>
      <c r="C49" s="40"/>
      <c r="D49" s="40"/>
      <c r="E49" s="40"/>
    </row>
    <row r="50" spans="1:5" x14ac:dyDescent="0.35">
      <c r="A50" s="14"/>
      <c r="B50" s="39" t="s">
        <v>59</v>
      </c>
      <c r="C50" s="40"/>
      <c r="D50" s="40"/>
      <c r="E50" s="40"/>
    </row>
    <row r="51" spans="1:5" x14ac:dyDescent="0.35">
      <c r="A51" s="15"/>
      <c r="B51" s="39" t="s">
        <v>60</v>
      </c>
      <c r="C51" s="40"/>
      <c r="D51" s="40"/>
      <c r="E51" s="40"/>
    </row>
    <row r="52" spans="1:5" x14ac:dyDescent="0.35">
      <c r="A52" s="16"/>
      <c r="B52" s="39" t="s">
        <v>61</v>
      </c>
      <c r="C52" s="40"/>
      <c r="D52" s="40"/>
      <c r="E52" s="40"/>
    </row>
  </sheetData>
  <mergeCells count="19">
    <mergeCell ref="A1:P1"/>
    <mergeCell ref="H5:J5"/>
    <mergeCell ref="B52:E52"/>
    <mergeCell ref="B48:E48"/>
    <mergeCell ref="A29:H29"/>
    <mergeCell ref="E5:G5"/>
    <mergeCell ref="K5:M5"/>
    <mergeCell ref="B44:E44"/>
    <mergeCell ref="A2:P2"/>
    <mergeCell ref="A39:H39"/>
    <mergeCell ref="B49:E49"/>
    <mergeCell ref="N5:P5"/>
    <mergeCell ref="A4:P4"/>
    <mergeCell ref="B51:E51"/>
    <mergeCell ref="B45:E45"/>
    <mergeCell ref="B50:E50"/>
    <mergeCell ref="B47:E47"/>
    <mergeCell ref="B46:E46"/>
    <mergeCell ref="B5:D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52"/>
  <sheetViews>
    <sheetView topLeftCell="A9" workbookViewId="0">
      <selection activeCell="A39" sqref="A39:H39"/>
    </sheetView>
  </sheetViews>
  <sheetFormatPr baseColWidth="10" defaultColWidth="8.7265625" defaultRowHeight="14.5" x14ac:dyDescent="0.35"/>
  <cols>
    <col min="1" max="1" width="8" customWidth="1"/>
    <col min="2" max="16" width="11" customWidth="1"/>
  </cols>
  <sheetData>
    <row r="1" spans="1:16" x14ac:dyDescent="0.35">
      <c r="A1" s="44" t="s">
        <v>159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35">
      <c r="A2" s="39" t="s">
        <v>160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16" x14ac:dyDescent="0.35">
      <c r="A4" s="43" t="s">
        <v>64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18" x14ac:dyDescent="0.35">
      <c r="A5" s="17" t="s">
        <v>65</v>
      </c>
      <c r="B5" s="42" t="s">
        <v>66</v>
      </c>
      <c r="C5" s="40"/>
      <c r="D5" s="40"/>
      <c r="E5" s="42" t="s">
        <v>67</v>
      </c>
      <c r="F5" s="40"/>
      <c r="G5" s="40"/>
      <c r="H5" s="42" t="s">
        <v>68</v>
      </c>
      <c r="I5" s="40"/>
      <c r="J5" s="40"/>
      <c r="K5" s="42" t="s">
        <v>69</v>
      </c>
      <c r="L5" s="40"/>
      <c r="M5" s="40"/>
      <c r="N5" s="42" t="s">
        <v>70</v>
      </c>
      <c r="O5" s="40"/>
      <c r="P5" s="40"/>
    </row>
    <row r="6" spans="1:16" x14ac:dyDescent="0.35">
      <c r="A6" s="18"/>
      <c r="B6" s="19" t="s">
        <v>71</v>
      </c>
      <c r="C6" s="19" t="s">
        <v>72</v>
      </c>
      <c r="D6" s="19" t="s">
        <v>73</v>
      </c>
      <c r="E6" s="19" t="s">
        <v>71</v>
      </c>
      <c r="F6" s="19" t="s">
        <v>72</v>
      </c>
      <c r="G6" s="19" t="s">
        <v>73</v>
      </c>
      <c r="H6" s="19" t="s">
        <v>71</v>
      </c>
      <c r="I6" s="19" t="s">
        <v>72</v>
      </c>
      <c r="J6" s="19" t="s">
        <v>73</v>
      </c>
      <c r="K6" s="19" t="s">
        <v>71</v>
      </c>
      <c r="L6" s="19" t="s">
        <v>72</v>
      </c>
      <c r="M6" s="19" t="s">
        <v>73</v>
      </c>
      <c r="N6" s="19" t="s">
        <v>71</v>
      </c>
      <c r="O6" s="19" t="s">
        <v>72</v>
      </c>
      <c r="P6" s="19" t="s">
        <v>73</v>
      </c>
    </row>
    <row r="7" spans="1:16" x14ac:dyDescent="0.35">
      <c r="A7" s="20" t="s">
        <v>74</v>
      </c>
      <c r="B7" s="22" t="s">
        <v>76</v>
      </c>
      <c r="C7" s="21" t="s">
        <v>75</v>
      </c>
      <c r="D7" s="23" t="s">
        <v>135</v>
      </c>
      <c r="E7" s="22" t="s">
        <v>76</v>
      </c>
      <c r="F7" s="21" t="s">
        <v>75</v>
      </c>
      <c r="G7" s="23" t="s">
        <v>135</v>
      </c>
      <c r="H7" s="21" t="s">
        <v>75</v>
      </c>
      <c r="I7" s="22" t="s">
        <v>76</v>
      </c>
      <c r="J7" s="23" t="s">
        <v>77</v>
      </c>
      <c r="K7" s="21" t="s">
        <v>75</v>
      </c>
      <c r="L7" s="22" t="s">
        <v>76</v>
      </c>
      <c r="M7" s="23" t="s">
        <v>135</v>
      </c>
      <c r="N7" s="22" t="s">
        <v>76</v>
      </c>
      <c r="O7" s="22" t="s">
        <v>76</v>
      </c>
      <c r="P7" s="23" t="s">
        <v>105</v>
      </c>
    </row>
    <row r="8" spans="1:16" x14ac:dyDescent="0.35">
      <c r="A8" s="20" t="s">
        <v>79</v>
      </c>
      <c r="B8" s="25" t="s">
        <v>80</v>
      </c>
      <c r="C8" s="24" t="s">
        <v>53</v>
      </c>
      <c r="D8" s="23" t="s">
        <v>135</v>
      </c>
      <c r="E8" s="25" t="s">
        <v>80</v>
      </c>
      <c r="F8" s="24" t="s">
        <v>53</v>
      </c>
      <c r="G8" s="23" t="s">
        <v>135</v>
      </c>
      <c r="H8" s="24" t="s">
        <v>53</v>
      </c>
      <c r="I8" s="22" t="s">
        <v>76</v>
      </c>
      <c r="J8" s="23" t="s">
        <v>77</v>
      </c>
      <c r="K8" s="24" t="s">
        <v>53</v>
      </c>
      <c r="L8" s="25" t="s">
        <v>80</v>
      </c>
      <c r="M8" s="23" t="s">
        <v>135</v>
      </c>
      <c r="N8" s="22" t="s">
        <v>76</v>
      </c>
      <c r="O8" s="22" t="s">
        <v>76</v>
      </c>
      <c r="P8" s="23" t="s">
        <v>105</v>
      </c>
    </row>
    <row r="9" spans="1:16" x14ac:dyDescent="0.35">
      <c r="A9" s="20" t="s">
        <v>83</v>
      </c>
      <c r="B9" s="25" t="s">
        <v>80</v>
      </c>
      <c r="C9" s="24" t="s">
        <v>53</v>
      </c>
      <c r="D9" s="23" t="s">
        <v>135</v>
      </c>
      <c r="E9" s="25" t="s">
        <v>80</v>
      </c>
      <c r="F9" s="24" t="s">
        <v>53</v>
      </c>
      <c r="G9" s="23" t="s">
        <v>135</v>
      </c>
      <c r="H9" s="24" t="s">
        <v>53</v>
      </c>
      <c r="I9" s="22" t="s">
        <v>76</v>
      </c>
      <c r="J9" s="23" t="s">
        <v>77</v>
      </c>
      <c r="K9" s="24" t="s">
        <v>53</v>
      </c>
      <c r="L9" s="25" t="s">
        <v>80</v>
      </c>
      <c r="M9" s="23" t="s">
        <v>135</v>
      </c>
      <c r="N9" s="22" t="s">
        <v>76</v>
      </c>
      <c r="O9" s="22" t="s">
        <v>76</v>
      </c>
      <c r="P9" s="23" t="s">
        <v>105</v>
      </c>
    </row>
    <row r="10" spans="1:16" x14ac:dyDescent="0.35">
      <c r="A10" s="20" t="s">
        <v>84</v>
      </c>
      <c r="B10" s="25" t="s">
        <v>80</v>
      </c>
      <c r="C10" s="24" t="s">
        <v>53</v>
      </c>
      <c r="D10" s="23" t="s">
        <v>135</v>
      </c>
      <c r="E10" s="25" t="s">
        <v>80</v>
      </c>
      <c r="F10" s="24" t="s">
        <v>53</v>
      </c>
      <c r="G10" s="23" t="s">
        <v>135</v>
      </c>
      <c r="H10" s="24" t="s">
        <v>53</v>
      </c>
      <c r="I10" s="22" t="s">
        <v>76</v>
      </c>
      <c r="J10" s="23" t="s">
        <v>77</v>
      </c>
      <c r="K10" s="24" t="s">
        <v>53</v>
      </c>
      <c r="L10" s="25" t="s">
        <v>80</v>
      </c>
      <c r="M10" s="23" t="s">
        <v>135</v>
      </c>
      <c r="N10" s="22" t="s">
        <v>76</v>
      </c>
      <c r="O10" s="22" t="s">
        <v>76</v>
      </c>
      <c r="P10" s="23" t="s">
        <v>105</v>
      </c>
    </row>
    <row r="11" spans="1:16" x14ac:dyDescent="0.35">
      <c r="A11" s="20" t="s">
        <v>85</v>
      </c>
      <c r="B11" s="25" t="s">
        <v>80</v>
      </c>
      <c r="C11" s="24" t="s">
        <v>53</v>
      </c>
      <c r="D11" s="23" t="s">
        <v>135</v>
      </c>
      <c r="E11" s="25" t="s">
        <v>80</v>
      </c>
      <c r="F11" s="24" t="s">
        <v>53</v>
      </c>
      <c r="G11" s="23" t="s">
        <v>135</v>
      </c>
      <c r="H11" s="24" t="s">
        <v>53</v>
      </c>
      <c r="I11" s="22" t="s">
        <v>76</v>
      </c>
      <c r="J11" s="23" t="s">
        <v>77</v>
      </c>
      <c r="K11" s="24" t="s">
        <v>53</v>
      </c>
      <c r="L11" s="25" t="s">
        <v>80</v>
      </c>
      <c r="M11" s="23" t="s">
        <v>135</v>
      </c>
      <c r="N11" s="22" t="s">
        <v>76</v>
      </c>
      <c r="O11" s="22" t="s">
        <v>76</v>
      </c>
      <c r="P11" s="23" t="s">
        <v>105</v>
      </c>
    </row>
    <row r="12" spans="1:16" x14ac:dyDescent="0.35">
      <c r="A12" s="20" t="s">
        <v>86</v>
      </c>
      <c r="B12" s="25" t="s">
        <v>80</v>
      </c>
      <c r="C12" s="24" t="s">
        <v>53</v>
      </c>
      <c r="D12" s="23" t="s">
        <v>135</v>
      </c>
      <c r="E12" s="25" t="s">
        <v>80</v>
      </c>
      <c r="F12" s="24" t="s">
        <v>53</v>
      </c>
      <c r="G12" s="23" t="s">
        <v>135</v>
      </c>
      <c r="H12" s="24" t="s">
        <v>53</v>
      </c>
      <c r="I12" s="22" t="s">
        <v>76</v>
      </c>
      <c r="J12" s="23" t="s">
        <v>77</v>
      </c>
      <c r="K12" s="24" t="s">
        <v>53</v>
      </c>
      <c r="L12" s="25" t="s">
        <v>80</v>
      </c>
      <c r="M12" s="23" t="s">
        <v>135</v>
      </c>
      <c r="N12" s="22" t="s">
        <v>76</v>
      </c>
      <c r="O12" s="22" t="s">
        <v>76</v>
      </c>
      <c r="P12" s="23" t="s">
        <v>105</v>
      </c>
    </row>
    <row r="13" spans="1:16" x14ac:dyDescent="0.35">
      <c r="A13" s="20" t="s">
        <v>87</v>
      </c>
      <c r="B13" s="25" t="s">
        <v>80</v>
      </c>
      <c r="C13" s="24" t="s">
        <v>53</v>
      </c>
      <c r="D13" s="23" t="s">
        <v>135</v>
      </c>
      <c r="E13" s="25" t="s">
        <v>80</v>
      </c>
      <c r="F13" s="24" t="s">
        <v>53</v>
      </c>
      <c r="G13" s="23" t="s">
        <v>135</v>
      </c>
      <c r="H13" s="24" t="s">
        <v>53</v>
      </c>
      <c r="I13" s="22" t="s">
        <v>76</v>
      </c>
      <c r="J13" s="23" t="s">
        <v>77</v>
      </c>
      <c r="K13" s="24" t="s">
        <v>53</v>
      </c>
      <c r="L13" s="25" t="s">
        <v>80</v>
      </c>
      <c r="M13" s="23" t="s">
        <v>135</v>
      </c>
      <c r="N13" s="22" t="s">
        <v>76</v>
      </c>
      <c r="O13" s="22" t="s">
        <v>76</v>
      </c>
      <c r="P13" s="23" t="s">
        <v>105</v>
      </c>
    </row>
    <row r="14" spans="1:16" x14ac:dyDescent="0.35">
      <c r="A14" s="20" t="s">
        <v>88</v>
      </c>
      <c r="B14" s="25" t="s">
        <v>80</v>
      </c>
      <c r="C14" s="24" t="s">
        <v>53</v>
      </c>
      <c r="D14" s="23" t="s">
        <v>135</v>
      </c>
      <c r="E14" s="25" t="s">
        <v>80</v>
      </c>
      <c r="F14" s="24" t="s">
        <v>53</v>
      </c>
      <c r="G14" s="23" t="s">
        <v>135</v>
      </c>
      <c r="H14" s="24" t="s">
        <v>53</v>
      </c>
      <c r="I14" s="22" t="s">
        <v>76</v>
      </c>
      <c r="J14" s="23" t="s">
        <v>77</v>
      </c>
      <c r="K14" s="24" t="s">
        <v>53</v>
      </c>
      <c r="L14" s="25" t="s">
        <v>80</v>
      </c>
      <c r="M14" s="23" t="s">
        <v>135</v>
      </c>
      <c r="N14" s="22" t="s">
        <v>76</v>
      </c>
      <c r="O14" s="22" t="s">
        <v>76</v>
      </c>
      <c r="P14" s="23" t="s">
        <v>105</v>
      </c>
    </row>
    <row r="15" spans="1:16" x14ac:dyDescent="0.35">
      <c r="A15" s="20" t="s">
        <v>89</v>
      </c>
      <c r="B15" s="25" t="s">
        <v>80</v>
      </c>
      <c r="C15" s="24" t="s">
        <v>53</v>
      </c>
      <c r="D15" s="23" t="s">
        <v>135</v>
      </c>
      <c r="E15" s="25" t="s">
        <v>80</v>
      </c>
      <c r="F15" s="24" t="s">
        <v>53</v>
      </c>
      <c r="G15" s="23" t="s">
        <v>135</v>
      </c>
      <c r="H15" s="24" t="s">
        <v>53</v>
      </c>
      <c r="I15" s="22" t="s">
        <v>76</v>
      </c>
      <c r="J15" s="23" t="s">
        <v>77</v>
      </c>
      <c r="K15" s="24" t="s">
        <v>53</v>
      </c>
      <c r="L15" s="25" t="s">
        <v>80</v>
      </c>
      <c r="M15" s="23" t="s">
        <v>135</v>
      </c>
      <c r="N15" s="22" t="s">
        <v>76</v>
      </c>
      <c r="O15" s="22" t="s">
        <v>76</v>
      </c>
      <c r="P15" s="23" t="s">
        <v>105</v>
      </c>
    </row>
    <row r="16" spans="1:16" x14ac:dyDescent="0.35">
      <c r="A16" s="20" t="s">
        <v>90</v>
      </c>
      <c r="B16" s="27" t="s">
        <v>91</v>
      </c>
      <c r="C16" s="26" t="s">
        <v>91</v>
      </c>
      <c r="D16" s="23" t="s">
        <v>135</v>
      </c>
      <c r="E16" s="27" t="s">
        <v>91</v>
      </c>
      <c r="F16" s="26" t="s">
        <v>91</v>
      </c>
      <c r="G16" s="23" t="s">
        <v>135</v>
      </c>
      <c r="H16" s="26" t="s">
        <v>91</v>
      </c>
      <c r="I16" s="22" t="s">
        <v>76</v>
      </c>
      <c r="J16" s="23" t="s">
        <v>77</v>
      </c>
      <c r="K16" s="26" t="s">
        <v>91</v>
      </c>
      <c r="L16" s="27" t="s">
        <v>91</v>
      </c>
      <c r="M16" s="23" t="s">
        <v>135</v>
      </c>
      <c r="N16" s="22" t="s">
        <v>76</v>
      </c>
      <c r="O16" s="22" t="s">
        <v>76</v>
      </c>
      <c r="P16" s="23" t="s">
        <v>105</v>
      </c>
    </row>
    <row r="17" spans="1:16" x14ac:dyDescent="0.35">
      <c r="A17" s="20" t="s">
        <v>95</v>
      </c>
      <c r="B17" s="25" t="s">
        <v>80</v>
      </c>
      <c r="C17" s="24" t="s">
        <v>53</v>
      </c>
      <c r="D17" s="23" t="s">
        <v>135</v>
      </c>
      <c r="E17" s="25" t="s">
        <v>80</v>
      </c>
      <c r="F17" s="24" t="s">
        <v>53</v>
      </c>
      <c r="G17" s="23" t="s">
        <v>135</v>
      </c>
      <c r="H17" s="24" t="s">
        <v>53</v>
      </c>
      <c r="I17" s="22" t="s">
        <v>76</v>
      </c>
      <c r="J17" s="23" t="s">
        <v>77</v>
      </c>
      <c r="K17" s="24" t="s">
        <v>53</v>
      </c>
      <c r="L17" s="25" t="s">
        <v>80</v>
      </c>
      <c r="M17" s="23" t="s">
        <v>135</v>
      </c>
      <c r="N17" s="22" t="s">
        <v>76</v>
      </c>
      <c r="O17" s="22" t="s">
        <v>76</v>
      </c>
      <c r="P17" s="23" t="s">
        <v>105</v>
      </c>
    </row>
    <row r="18" spans="1:16" x14ac:dyDescent="0.35">
      <c r="A18" s="20" t="s">
        <v>96</v>
      </c>
      <c r="B18" s="25" t="s">
        <v>80</v>
      </c>
      <c r="C18" s="24" t="s">
        <v>53</v>
      </c>
      <c r="D18" s="23" t="s">
        <v>135</v>
      </c>
      <c r="E18" s="25" t="s">
        <v>80</v>
      </c>
      <c r="F18" s="24" t="s">
        <v>53</v>
      </c>
      <c r="G18" s="23" t="s">
        <v>135</v>
      </c>
      <c r="H18" s="24" t="s">
        <v>53</v>
      </c>
      <c r="I18" s="22" t="s">
        <v>76</v>
      </c>
      <c r="J18" s="23" t="s">
        <v>77</v>
      </c>
      <c r="K18" s="24" t="s">
        <v>53</v>
      </c>
      <c r="L18" s="25" t="s">
        <v>80</v>
      </c>
      <c r="M18" s="23" t="s">
        <v>135</v>
      </c>
      <c r="N18" s="22" t="s">
        <v>76</v>
      </c>
      <c r="O18" s="22" t="s">
        <v>76</v>
      </c>
      <c r="P18" s="23" t="s">
        <v>105</v>
      </c>
    </row>
    <row r="19" spans="1:16" x14ac:dyDescent="0.35">
      <c r="A19" s="20" t="s">
        <v>97</v>
      </c>
      <c r="B19" s="25" t="s">
        <v>80</v>
      </c>
      <c r="C19" s="24" t="s">
        <v>53</v>
      </c>
      <c r="D19" s="23" t="s">
        <v>135</v>
      </c>
      <c r="E19" s="25" t="s">
        <v>80</v>
      </c>
      <c r="F19" s="24" t="s">
        <v>53</v>
      </c>
      <c r="G19" s="23" t="s">
        <v>135</v>
      </c>
      <c r="H19" s="24" t="s">
        <v>53</v>
      </c>
      <c r="I19" s="22" t="s">
        <v>76</v>
      </c>
      <c r="J19" s="23" t="s">
        <v>77</v>
      </c>
      <c r="K19" s="24" t="s">
        <v>53</v>
      </c>
      <c r="L19" s="25" t="s">
        <v>80</v>
      </c>
      <c r="M19" s="23" t="s">
        <v>135</v>
      </c>
      <c r="N19" s="22" t="s">
        <v>76</v>
      </c>
      <c r="O19" s="22" t="s">
        <v>76</v>
      </c>
      <c r="P19" s="23" t="s">
        <v>105</v>
      </c>
    </row>
    <row r="20" spans="1:16" x14ac:dyDescent="0.35">
      <c r="A20" s="20" t="s">
        <v>98</v>
      </c>
      <c r="B20" s="25" t="s">
        <v>80</v>
      </c>
      <c r="C20" s="24" t="s">
        <v>53</v>
      </c>
      <c r="D20" s="23" t="s">
        <v>135</v>
      </c>
      <c r="E20" s="25" t="s">
        <v>80</v>
      </c>
      <c r="F20" s="24" t="s">
        <v>53</v>
      </c>
      <c r="G20" s="23" t="s">
        <v>135</v>
      </c>
      <c r="H20" s="24" t="s">
        <v>53</v>
      </c>
      <c r="I20" s="22" t="s">
        <v>76</v>
      </c>
      <c r="J20" s="23" t="s">
        <v>77</v>
      </c>
      <c r="K20" s="24" t="s">
        <v>53</v>
      </c>
      <c r="L20" s="25" t="s">
        <v>80</v>
      </c>
      <c r="M20" s="23" t="s">
        <v>135</v>
      </c>
      <c r="N20" s="22" t="s">
        <v>76</v>
      </c>
      <c r="O20" s="22" t="s">
        <v>76</v>
      </c>
      <c r="P20" s="23" t="s">
        <v>105</v>
      </c>
    </row>
    <row r="21" spans="1:16" x14ac:dyDescent="0.35">
      <c r="A21" s="20" t="s">
        <v>99</v>
      </c>
      <c r="B21" s="25" t="s">
        <v>80</v>
      </c>
      <c r="C21" s="24" t="s">
        <v>53</v>
      </c>
      <c r="D21" s="23" t="s">
        <v>135</v>
      </c>
      <c r="E21" s="25" t="s">
        <v>80</v>
      </c>
      <c r="F21" s="24" t="s">
        <v>53</v>
      </c>
      <c r="G21" s="23" t="s">
        <v>135</v>
      </c>
      <c r="H21" s="24" t="s">
        <v>53</v>
      </c>
      <c r="I21" s="22" t="s">
        <v>76</v>
      </c>
      <c r="J21" s="23" t="s">
        <v>77</v>
      </c>
      <c r="K21" s="24" t="s">
        <v>53</v>
      </c>
      <c r="L21" s="25" t="s">
        <v>80</v>
      </c>
      <c r="M21" s="23" t="s">
        <v>135</v>
      </c>
      <c r="N21" s="22" t="s">
        <v>76</v>
      </c>
      <c r="O21" s="22" t="s">
        <v>76</v>
      </c>
      <c r="P21" s="23" t="s">
        <v>105</v>
      </c>
    </row>
    <row r="22" spans="1:16" x14ac:dyDescent="0.35">
      <c r="A22" s="20" t="s">
        <v>100</v>
      </c>
      <c r="B22" s="25" t="s">
        <v>80</v>
      </c>
      <c r="C22" s="24" t="s">
        <v>53</v>
      </c>
      <c r="D22" s="23" t="s">
        <v>135</v>
      </c>
      <c r="E22" s="25" t="s">
        <v>80</v>
      </c>
      <c r="F22" s="24" t="s">
        <v>53</v>
      </c>
      <c r="G22" s="23" t="s">
        <v>135</v>
      </c>
      <c r="H22" s="24" t="s">
        <v>53</v>
      </c>
      <c r="I22" s="22" t="s">
        <v>76</v>
      </c>
      <c r="J22" s="23" t="s">
        <v>77</v>
      </c>
      <c r="K22" s="24" t="s">
        <v>53</v>
      </c>
      <c r="L22" s="25" t="s">
        <v>80</v>
      </c>
      <c r="M22" s="23" t="s">
        <v>135</v>
      </c>
      <c r="N22" s="22" t="s">
        <v>76</v>
      </c>
      <c r="O22" s="22" t="s">
        <v>76</v>
      </c>
      <c r="P22" s="23" t="s">
        <v>105</v>
      </c>
    </row>
    <row r="23" spans="1:16" x14ac:dyDescent="0.35">
      <c r="A23" s="20" t="s">
        <v>101</v>
      </c>
      <c r="B23" s="25" t="s">
        <v>80</v>
      </c>
      <c r="C23" s="24" t="s">
        <v>53</v>
      </c>
      <c r="D23" s="23" t="s">
        <v>82</v>
      </c>
      <c r="E23" s="25" t="s">
        <v>80</v>
      </c>
      <c r="F23" s="24" t="s">
        <v>53</v>
      </c>
      <c r="G23" s="23" t="s">
        <v>82</v>
      </c>
      <c r="H23" s="24" t="s">
        <v>53</v>
      </c>
      <c r="I23" s="22" t="s">
        <v>76</v>
      </c>
      <c r="J23" s="23" t="s">
        <v>77</v>
      </c>
      <c r="K23" s="24" t="s">
        <v>53</v>
      </c>
      <c r="L23" s="25" t="s">
        <v>80</v>
      </c>
      <c r="M23" s="23" t="s">
        <v>81</v>
      </c>
      <c r="N23" s="22" t="s">
        <v>76</v>
      </c>
      <c r="O23" s="22" t="s">
        <v>76</v>
      </c>
      <c r="P23" s="23" t="s">
        <v>105</v>
      </c>
    </row>
    <row r="24" spans="1:16" x14ac:dyDescent="0.35">
      <c r="A24" s="20" t="s">
        <v>102</v>
      </c>
      <c r="B24" s="25" t="s">
        <v>80</v>
      </c>
      <c r="C24" s="24" t="s">
        <v>53</v>
      </c>
      <c r="D24" s="23" t="s">
        <v>82</v>
      </c>
      <c r="E24" s="25" t="s">
        <v>80</v>
      </c>
      <c r="F24" s="24" t="s">
        <v>53</v>
      </c>
      <c r="G24" s="23" t="s">
        <v>82</v>
      </c>
      <c r="H24" s="24" t="s">
        <v>53</v>
      </c>
      <c r="I24" s="22" t="s">
        <v>76</v>
      </c>
      <c r="J24" s="23" t="s">
        <v>77</v>
      </c>
      <c r="K24" s="24" t="s">
        <v>53</v>
      </c>
      <c r="L24" s="25" t="s">
        <v>80</v>
      </c>
      <c r="M24" s="23" t="s">
        <v>81</v>
      </c>
      <c r="N24" s="22" t="s">
        <v>76</v>
      </c>
      <c r="O24" s="22" t="s">
        <v>76</v>
      </c>
      <c r="P24" s="23" t="s">
        <v>105</v>
      </c>
    </row>
    <row r="25" spans="1:16" x14ac:dyDescent="0.35">
      <c r="A25" s="20" t="s">
        <v>103</v>
      </c>
      <c r="B25" s="25" t="s">
        <v>80</v>
      </c>
      <c r="C25" s="21" t="s">
        <v>93</v>
      </c>
      <c r="D25" s="23" t="s">
        <v>82</v>
      </c>
      <c r="E25" s="25" t="s">
        <v>80</v>
      </c>
      <c r="F25" s="21" t="s">
        <v>93</v>
      </c>
      <c r="G25" s="23" t="s">
        <v>82</v>
      </c>
      <c r="H25" s="24" t="s">
        <v>53</v>
      </c>
      <c r="I25" s="22" t="s">
        <v>76</v>
      </c>
      <c r="J25" s="23" t="s">
        <v>77</v>
      </c>
      <c r="K25" s="21" t="s">
        <v>93</v>
      </c>
      <c r="L25" s="22" t="s">
        <v>76</v>
      </c>
      <c r="M25" s="23" t="s">
        <v>77</v>
      </c>
      <c r="N25" s="22" t="s">
        <v>76</v>
      </c>
      <c r="O25" s="22" t="s">
        <v>76</v>
      </c>
      <c r="P25" s="23" t="s">
        <v>105</v>
      </c>
    </row>
    <row r="26" spans="1:16" x14ac:dyDescent="0.35">
      <c r="A26" s="20" t="s">
        <v>104</v>
      </c>
      <c r="B26" s="25" t="s">
        <v>80</v>
      </c>
      <c r="C26" s="22" t="s">
        <v>76</v>
      </c>
      <c r="D26" s="23" t="s">
        <v>123</v>
      </c>
      <c r="E26" s="25" t="s">
        <v>80</v>
      </c>
      <c r="F26" s="22" t="s">
        <v>76</v>
      </c>
      <c r="G26" s="23" t="s">
        <v>123</v>
      </c>
      <c r="H26" s="24" t="s">
        <v>53</v>
      </c>
      <c r="I26" s="22" t="s">
        <v>76</v>
      </c>
      <c r="J26" s="23" t="s">
        <v>77</v>
      </c>
      <c r="K26" s="22" t="s">
        <v>76</v>
      </c>
      <c r="L26" s="22" t="s">
        <v>76</v>
      </c>
      <c r="M26" s="23" t="s">
        <v>105</v>
      </c>
      <c r="N26" s="22" t="s">
        <v>76</v>
      </c>
      <c r="O26" s="22" t="s">
        <v>76</v>
      </c>
      <c r="P26" s="23" t="s">
        <v>105</v>
      </c>
    </row>
    <row r="27" spans="1:16" x14ac:dyDescent="0.35">
      <c r="A27" s="20" t="s">
        <v>106</v>
      </c>
      <c r="B27" s="22" t="s">
        <v>76</v>
      </c>
      <c r="C27" s="22" t="s">
        <v>76</v>
      </c>
      <c r="D27" s="23" t="s">
        <v>105</v>
      </c>
      <c r="E27" s="22" t="s">
        <v>76</v>
      </c>
      <c r="F27" s="22" t="s">
        <v>76</v>
      </c>
      <c r="G27" s="23" t="s">
        <v>105</v>
      </c>
      <c r="H27" s="21" t="s">
        <v>93</v>
      </c>
      <c r="I27" s="22" t="s">
        <v>76</v>
      </c>
      <c r="J27" s="23" t="s">
        <v>77</v>
      </c>
      <c r="K27" s="22" t="s">
        <v>76</v>
      </c>
      <c r="L27" s="22" t="s">
        <v>76</v>
      </c>
      <c r="M27" s="23" t="s">
        <v>105</v>
      </c>
      <c r="N27" s="22" t="s">
        <v>76</v>
      </c>
      <c r="O27" s="22" t="s">
        <v>76</v>
      </c>
      <c r="P27" s="23" t="s">
        <v>105</v>
      </c>
    </row>
    <row r="29" spans="1:16" x14ac:dyDescent="0.35">
      <c r="A29" s="45" t="s">
        <v>107</v>
      </c>
      <c r="B29" s="40"/>
      <c r="C29" s="40"/>
      <c r="D29" s="40"/>
      <c r="E29" s="40"/>
      <c r="F29" s="40"/>
      <c r="G29" s="40"/>
      <c r="H29" s="40"/>
    </row>
    <row r="30" spans="1:16" ht="26" x14ac:dyDescent="0.35">
      <c r="A30" s="28"/>
      <c r="B30" s="28" t="s">
        <v>108</v>
      </c>
      <c r="C30" s="28" t="s">
        <v>109</v>
      </c>
      <c r="D30" s="28" t="s">
        <v>110</v>
      </c>
      <c r="E30" s="28" t="s">
        <v>111</v>
      </c>
      <c r="F30" s="28" t="s">
        <v>112</v>
      </c>
      <c r="G30" s="28" t="s">
        <v>113</v>
      </c>
      <c r="H30" s="28" t="s">
        <v>114</v>
      </c>
    </row>
    <row r="31" spans="1:16" x14ac:dyDescent="0.35">
      <c r="A31" s="29" t="s">
        <v>71</v>
      </c>
      <c r="B31" s="30">
        <v>35</v>
      </c>
      <c r="C31" s="31">
        <v>96000</v>
      </c>
      <c r="D31" s="32">
        <f>B31/40</f>
        <v>0.875</v>
      </c>
      <c r="E31" s="31">
        <f>C31*D31/12</f>
        <v>7000</v>
      </c>
      <c r="F31" s="31">
        <f>C31*D31</f>
        <v>84000</v>
      </c>
      <c r="G31" s="31">
        <f>IF(E31&gt;=8000,E31*0.6,IF(E31&gt;=7000,E31*0.61,IF(E31&gt;=6000,E31*0.62,IF(E31&gt;=5000,E31*0.64,IF(E31&gt;=4000,E31*0.66,IF(E31&gt;=3000,E31*0.68,E31*0.7))))))</f>
        <v>4270</v>
      </c>
      <c r="H31" s="31">
        <f>G31*12</f>
        <v>51240</v>
      </c>
    </row>
    <row r="32" spans="1:16" ht="26" x14ac:dyDescent="0.35">
      <c r="A32" s="29" t="s">
        <v>115</v>
      </c>
      <c r="B32" s="30">
        <v>24</v>
      </c>
      <c r="C32" s="31">
        <v>84000</v>
      </c>
      <c r="D32" s="32">
        <f>B32/40</f>
        <v>0.6</v>
      </c>
      <c r="E32" s="31">
        <f>C32*D32/12</f>
        <v>4200</v>
      </c>
      <c r="F32" s="31">
        <f>C32*D32</f>
        <v>50400</v>
      </c>
      <c r="G32" s="31">
        <f>IF(E32&gt;=8000,E32*0.6,IF(E32&gt;=7000,E32*0.61,IF(E32&gt;=6000,E32*0.62,IF(E32&gt;=5000,E32*0.64,IF(E32&gt;=4000,E32*0.66,IF(E32&gt;=3000,E32*0.68,E32*0.7))))))</f>
        <v>2772</v>
      </c>
      <c r="H32" s="31">
        <f>G32*12</f>
        <v>33264</v>
      </c>
    </row>
    <row r="33" spans="1:8" ht="39" x14ac:dyDescent="0.35">
      <c r="A33" s="33" t="s">
        <v>116</v>
      </c>
      <c r="B33" s="34">
        <f>B31+B32</f>
        <v>59</v>
      </c>
      <c r="C33" s="33"/>
      <c r="D33" s="33"/>
      <c r="E33" s="35">
        <f>E31+E32</f>
        <v>11200</v>
      </c>
      <c r="F33" s="35">
        <f>F31+F32</f>
        <v>134400</v>
      </c>
      <c r="G33" s="35">
        <f>G31+G32</f>
        <v>7042</v>
      </c>
      <c r="H33" s="35">
        <f>H31+H32</f>
        <v>84504</v>
      </c>
    </row>
    <row r="35" spans="1:8" x14ac:dyDescent="0.35">
      <c r="A35" s="6" t="s">
        <v>117</v>
      </c>
      <c r="B35" s="36">
        <f>F33*0.7</f>
        <v>94080</v>
      </c>
    </row>
    <row r="36" spans="1:8" x14ac:dyDescent="0.35">
      <c r="A36" s="6" t="s">
        <v>153</v>
      </c>
      <c r="B36" s="38">
        <v>254</v>
      </c>
    </row>
    <row r="37" spans="1:8" x14ac:dyDescent="0.35">
      <c r="A37" s="6" t="s">
        <v>137</v>
      </c>
      <c r="B37" s="37">
        <f>G33-B36</f>
        <v>6788</v>
      </c>
    </row>
    <row r="39" spans="1:8" x14ac:dyDescent="0.35">
      <c r="A39" s="39" t="s">
        <v>119</v>
      </c>
      <c r="B39" s="40"/>
      <c r="C39" s="40"/>
      <c r="D39" s="40"/>
      <c r="E39" s="40"/>
      <c r="F39" s="40"/>
      <c r="G39" s="40"/>
      <c r="H39" s="40"/>
    </row>
    <row r="40" spans="1:8" x14ac:dyDescent="0.35">
      <c r="A40" s="8" t="s">
        <v>161</v>
      </c>
    </row>
    <row r="43" spans="1:8" x14ac:dyDescent="0.35">
      <c r="A43" s="6" t="s">
        <v>52</v>
      </c>
    </row>
    <row r="44" spans="1:8" x14ac:dyDescent="0.35">
      <c r="A44" s="7"/>
      <c r="B44" s="39" t="s">
        <v>53</v>
      </c>
      <c r="C44" s="40"/>
      <c r="D44" s="40"/>
      <c r="E44" s="40"/>
    </row>
    <row r="45" spans="1:8" x14ac:dyDescent="0.35">
      <c r="A45" s="9"/>
      <c r="B45" s="39" t="s">
        <v>54</v>
      </c>
      <c r="C45" s="40"/>
      <c r="D45" s="40"/>
      <c r="E45" s="40"/>
    </row>
    <row r="46" spans="1:8" x14ac:dyDescent="0.35">
      <c r="A46" s="10"/>
      <c r="B46" s="39" t="s">
        <v>55</v>
      </c>
      <c r="C46" s="40"/>
      <c r="D46" s="40"/>
      <c r="E46" s="40"/>
    </row>
    <row r="47" spans="1:8" x14ac:dyDescent="0.35">
      <c r="A47" s="11"/>
      <c r="B47" s="39" t="s">
        <v>56</v>
      </c>
      <c r="C47" s="40"/>
      <c r="D47" s="40"/>
      <c r="E47" s="40"/>
    </row>
    <row r="48" spans="1:8" x14ac:dyDescent="0.35">
      <c r="A48" s="12"/>
      <c r="B48" s="39" t="s">
        <v>57</v>
      </c>
      <c r="C48" s="40"/>
      <c r="D48" s="40"/>
      <c r="E48" s="40"/>
    </row>
    <row r="49" spans="1:5" x14ac:dyDescent="0.35">
      <c r="A49" s="13"/>
      <c r="B49" s="39" t="s">
        <v>58</v>
      </c>
      <c r="C49" s="40"/>
      <c r="D49" s="40"/>
      <c r="E49" s="40"/>
    </row>
    <row r="50" spans="1:5" x14ac:dyDescent="0.35">
      <c r="A50" s="14"/>
      <c r="B50" s="39" t="s">
        <v>59</v>
      </c>
      <c r="C50" s="40"/>
      <c r="D50" s="40"/>
      <c r="E50" s="40"/>
    </row>
    <row r="51" spans="1:5" x14ac:dyDescent="0.35">
      <c r="A51" s="15"/>
      <c r="B51" s="39" t="s">
        <v>60</v>
      </c>
      <c r="C51" s="40"/>
      <c r="D51" s="40"/>
      <c r="E51" s="40"/>
    </row>
    <row r="52" spans="1:5" x14ac:dyDescent="0.35">
      <c r="A52" s="16"/>
      <c r="B52" s="39" t="s">
        <v>61</v>
      </c>
      <c r="C52" s="40"/>
      <c r="D52" s="40"/>
      <c r="E52" s="40"/>
    </row>
  </sheetData>
  <mergeCells count="19">
    <mergeCell ref="A1:P1"/>
    <mergeCell ref="H5:J5"/>
    <mergeCell ref="B52:E52"/>
    <mergeCell ref="B48:E48"/>
    <mergeCell ref="A29:H29"/>
    <mergeCell ref="E5:G5"/>
    <mergeCell ref="K5:M5"/>
    <mergeCell ref="B44:E44"/>
    <mergeCell ref="A2:P2"/>
    <mergeCell ref="A39:H39"/>
    <mergeCell ref="B49:E49"/>
    <mergeCell ref="N5:P5"/>
    <mergeCell ref="A4:P4"/>
    <mergeCell ref="B51:E51"/>
    <mergeCell ref="B45:E45"/>
    <mergeCell ref="B50:E50"/>
    <mergeCell ref="B47:E47"/>
    <mergeCell ref="B46:E46"/>
    <mergeCell ref="B5:D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4"/>
  <sheetViews>
    <sheetView workbookViewId="0"/>
  </sheetViews>
  <sheetFormatPr baseColWidth="10" defaultColWidth="8.7265625" defaultRowHeight="14.5" x14ac:dyDescent="0.35"/>
  <cols>
    <col min="1" max="1" width="32" customWidth="1"/>
    <col min="2" max="13" width="13" customWidth="1"/>
  </cols>
  <sheetData>
    <row r="1" spans="1:12" x14ac:dyDescent="0.35">
      <c r="A1" s="44" t="s">
        <v>162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3" spans="1:12" ht="26" x14ac:dyDescent="0.35">
      <c r="A3" s="28" t="s">
        <v>163</v>
      </c>
      <c r="B3" s="28" t="s">
        <v>164</v>
      </c>
      <c r="C3" s="28" t="s">
        <v>165</v>
      </c>
      <c r="D3" s="28" t="s">
        <v>166</v>
      </c>
      <c r="E3" s="28" t="s">
        <v>167</v>
      </c>
      <c r="F3" s="28" t="s">
        <v>168</v>
      </c>
      <c r="G3" s="28" t="s">
        <v>169</v>
      </c>
      <c r="H3" s="28" t="s">
        <v>170</v>
      </c>
      <c r="I3" s="28" t="s">
        <v>171</v>
      </c>
      <c r="J3" s="28" t="s">
        <v>172</v>
      </c>
      <c r="K3" s="28" t="s">
        <v>173</v>
      </c>
      <c r="L3" s="28" t="s">
        <v>174</v>
      </c>
    </row>
    <row r="4" spans="1:12" x14ac:dyDescent="0.35">
      <c r="A4" s="29" t="s">
        <v>175</v>
      </c>
      <c r="B4" s="30">
        <v>40</v>
      </c>
      <c r="C4" s="30">
        <v>40</v>
      </c>
      <c r="D4" s="31">
        <f t="shared" ref="D4:D15" si="0">B4/40*96000/12</f>
        <v>8000</v>
      </c>
      <c r="E4" s="31">
        <f t="shared" ref="E4:E15" si="1">C4/40*84000/12</f>
        <v>7000</v>
      </c>
      <c r="F4" s="31">
        <f t="shared" ref="F4:F15" si="2">D4+E4</f>
        <v>15000</v>
      </c>
      <c r="G4" s="31">
        <f t="shared" ref="G4:G15" si="3">IF(D4&gt;=8000,D4*0.6,IF(D4&gt;=7000,D4*0.61,IF(D4&gt;=6000,D4*0.62,IF(D4&gt;=5000,D4*0.64,IF(D4&gt;=4000,D4*0.66,IF(D4&gt;=3000,D4*0.68,D4*0.7))))))</f>
        <v>4800</v>
      </c>
      <c r="H4" s="31">
        <f t="shared" ref="H4:H15" si="4">IF(E4&gt;=8000,E4*0.6,IF(E4&gt;=7000,E4*0.61,IF(E4&gt;=6000,E4*0.62,IF(E4&gt;=5000,E4*0.64,IF(E4&gt;=4000,E4*0.66,IF(E4&gt;=3000,E4*0.68,E4*0.7))))))</f>
        <v>4270</v>
      </c>
      <c r="I4" s="31">
        <f t="shared" ref="I4:I15" si="5">G4+H4</f>
        <v>9070</v>
      </c>
      <c r="J4" s="31">
        <v>0</v>
      </c>
      <c r="K4" s="35">
        <f t="shared" ref="K4:K15" si="6">I4-J4</f>
        <v>9070</v>
      </c>
      <c r="L4" s="30" t="s">
        <v>176</v>
      </c>
    </row>
    <row r="5" spans="1:12" x14ac:dyDescent="0.35">
      <c r="A5" s="29" t="s">
        <v>177</v>
      </c>
      <c r="B5" s="30">
        <v>40</v>
      </c>
      <c r="C5" s="30">
        <v>20</v>
      </c>
      <c r="D5" s="31">
        <f t="shared" si="0"/>
        <v>8000</v>
      </c>
      <c r="E5" s="31">
        <f t="shared" si="1"/>
        <v>3500</v>
      </c>
      <c r="F5" s="31">
        <f t="shared" si="2"/>
        <v>11500</v>
      </c>
      <c r="G5" s="31">
        <f t="shared" si="3"/>
        <v>4800</v>
      </c>
      <c r="H5" s="31">
        <f t="shared" si="4"/>
        <v>2380</v>
      </c>
      <c r="I5" s="31">
        <f t="shared" si="5"/>
        <v>7180</v>
      </c>
      <c r="J5" s="31">
        <v>0</v>
      </c>
      <c r="K5" s="35">
        <f t="shared" si="6"/>
        <v>7180</v>
      </c>
      <c r="L5" s="30" t="s">
        <v>178</v>
      </c>
    </row>
    <row r="6" spans="1:12" x14ac:dyDescent="0.35">
      <c r="A6" s="29" t="s">
        <v>179</v>
      </c>
      <c r="B6" s="30">
        <v>35</v>
      </c>
      <c r="C6" s="30">
        <v>35</v>
      </c>
      <c r="D6" s="31">
        <f t="shared" si="0"/>
        <v>7000</v>
      </c>
      <c r="E6" s="31">
        <f t="shared" si="1"/>
        <v>6125</v>
      </c>
      <c r="F6" s="31">
        <f t="shared" si="2"/>
        <v>13125</v>
      </c>
      <c r="G6" s="31">
        <f t="shared" si="3"/>
        <v>4270</v>
      </c>
      <c r="H6" s="31">
        <f t="shared" si="4"/>
        <v>3797.5</v>
      </c>
      <c r="I6" s="31">
        <f t="shared" si="5"/>
        <v>8067.5</v>
      </c>
      <c r="J6" s="31">
        <v>0</v>
      </c>
      <c r="K6" s="35">
        <f t="shared" si="6"/>
        <v>8067.5</v>
      </c>
      <c r="L6" s="30" t="s">
        <v>180</v>
      </c>
    </row>
    <row r="7" spans="1:12" x14ac:dyDescent="0.35">
      <c r="A7" s="29" t="s">
        <v>181</v>
      </c>
      <c r="B7" s="30">
        <v>28</v>
      </c>
      <c r="C7" s="30">
        <v>40</v>
      </c>
      <c r="D7" s="31">
        <f t="shared" si="0"/>
        <v>5600</v>
      </c>
      <c r="E7" s="31">
        <f t="shared" si="1"/>
        <v>7000</v>
      </c>
      <c r="F7" s="31">
        <f t="shared" si="2"/>
        <v>12600</v>
      </c>
      <c r="G7" s="31">
        <f t="shared" si="3"/>
        <v>3584</v>
      </c>
      <c r="H7" s="31">
        <f t="shared" si="4"/>
        <v>4270</v>
      </c>
      <c r="I7" s="31">
        <f t="shared" si="5"/>
        <v>7854</v>
      </c>
      <c r="J7" s="31">
        <v>0</v>
      </c>
      <c r="K7" s="35">
        <f t="shared" si="6"/>
        <v>7854</v>
      </c>
      <c r="L7" s="30" t="s">
        <v>182</v>
      </c>
    </row>
    <row r="8" spans="1:12" x14ac:dyDescent="0.35">
      <c r="A8" s="29" t="s">
        <v>183</v>
      </c>
      <c r="B8" s="30">
        <v>21</v>
      </c>
      <c r="C8" s="30">
        <v>40</v>
      </c>
      <c r="D8" s="31">
        <f t="shared" si="0"/>
        <v>4200</v>
      </c>
      <c r="E8" s="31">
        <f t="shared" si="1"/>
        <v>7000</v>
      </c>
      <c r="F8" s="31">
        <f t="shared" si="2"/>
        <v>11200</v>
      </c>
      <c r="G8" s="31">
        <f t="shared" si="3"/>
        <v>2772</v>
      </c>
      <c r="H8" s="31">
        <f t="shared" si="4"/>
        <v>4270</v>
      </c>
      <c r="I8" s="31">
        <f t="shared" si="5"/>
        <v>7042</v>
      </c>
      <c r="J8" s="31">
        <v>0</v>
      </c>
      <c r="K8" s="35">
        <f t="shared" si="6"/>
        <v>7042</v>
      </c>
      <c r="L8" s="30" t="s">
        <v>184</v>
      </c>
    </row>
    <row r="9" spans="1:12" ht="29" x14ac:dyDescent="0.35">
      <c r="A9" s="29" t="s">
        <v>185</v>
      </c>
      <c r="B9" s="30">
        <v>40</v>
      </c>
      <c r="C9" s="30">
        <v>40</v>
      </c>
      <c r="D9" s="31">
        <f t="shared" si="0"/>
        <v>8000</v>
      </c>
      <c r="E9" s="31">
        <f t="shared" si="1"/>
        <v>7000</v>
      </c>
      <c r="F9" s="31">
        <f t="shared" si="2"/>
        <v>15000</v>
      </c>
      <c r="G9" s="31">
        <f t="shared" si="3"/>
        <v>4800</v>
      </c>
      <c r="H9" s="31">
        <f t="shared" si="4"/>
        <v>4270</v>
      </c>
      <c r="I9" s="31">
        <f t="shared" si="5"/>
        <v>9070</v>
      </c>
      <c r="J9" s="31">
        <v>465</v>
      </c>
      <c r="K9" s="35">
        <f t="shared" si="6"/>
        <v>8605</v>
      </c>
      <c r="L9" s="30" t="s">
        <v>186</v>
      </c>
    </row>
    <row r="10" spans="1:12" x14ac:dyDescent="0.35">
      <c r="A10" s="29" t="s">
        <v>187</v>
      </c>
      <c r="B10" s="30">
        <v>35</v>
      </c>
      <c r="C10" s="30">
        <v>35</v>
      </c>
      <c r="D10" s="31">
        <f t="shared" si="0"/>
        <v>7000</v>
      </c>
      <c r="E10" s="31">
        <f t="shared" si="1"/>
        <v>6125</v>
      </c>
      <c r="F10" s="31">
        <f t="shared" si="2"/>
        <v>13125</v>
      </c>
      <c r="G10" s="31">
        <f t="shared" si="3"/>
        <v>4270</v>
      </c>
      <c r="H10" s="31">
        <f t="shared" si="4"/>
        <v>3797.5</v>
      </c>
      <c r="I10" s="31">
        <f t="shared" si="5"/>
        <v>8067.5</v>
      </c>
      <c r="J10" s="31">
        <v>388</v>
      </c>
      <c r="K10" s="35">
        <f t="shared" si="6"/>
        <v>7679.5</v>
      </c>
      <c r="L10" s="30" t="s">
        <v>178</v>
      </c>
    </row>
    <row r="11" spans="1:12" x14ac:dyDescent="0.35">
      <c r="A11" s="29" t="s">
        <v>188</v>
      </c>
      <c r="B11" s="30">
        <v>28</v>
      </c>
      <c r="C11" s="30">
        <v>20</v>
      </c>
      <c r="D11" s="31">
        <f t="shared" si="0"/>
        <v>5600</v>
      </c>
      <c r="E11" s="31">
        <f t="shared" si="1"/>
        <v>3500</v>
      </c>
      <c r="F11" s="31">
        <f t="shared" si="2"/>
        <v>9100</v>
      </c>
      <c r="G11" s="31">
        <f t="shared" si="3"/>
        <v>3584</v>
      </c>
      <c r="H11" s="31">
        <f t="shared" si="4"/>
        <v>2380</v>
      </c>
      <c r="I11" s="31">
        <f t="shared" si="5"/>
        <v>5964</v>
      </c>
      <c r="J11" s="31">
        <v>148</v>
      </c>
      <c r="K11" s="35">
        <f t="shared" si="6"/>
        <v>5816</v>
      </c>
      <c r="L11" s="30" t="s">
        <v>184</v>
      </c>
    </row>
    <row r="12" spans="1:12" x14ac:dyDescent="0.35">
      <c r="A12" s="29" t="s">
        <v>189</v>
      </c>
      <c r="B12" s="30">
        <v>21</v>
      </c>
      <c r="C12" s="30">
        <v>20</v>
      </c>
      <c r="D12" s="31">
        <f t="shared" si="0"/>
        <v>4200</v>
      </c>
      <c r="E12" s="31">
        <f t="shared" si="1"/>
        <v>3500</v>
      </c>
      <c r="F12" s="31">
        <f t="shared" si="2"/>
        <v>7700</v>
      </c>
      <c r="G12" s="31">
        <f t="shared" si="3"/>
        <v>2772</v>
      </c>
      <c r="H12" s="31">
        <f t="shared" si="4"/>
        <v>2380</v>
      </c>
      <c r="I12" s="31">
        <f t="shared" si="5"/>
        <v>5152</v>
      </c>
      <c r="J12" s="31">
        <v>106</v>
      </c>
      <c r="K12" s="35">
        <f t="shared" si="6"/>
        <v>5046</v>
      </c>
      <c r="L12" s="30" t="s">
        <v>190</v>
      </c>
    </row>
    <row r="13" spans="1:12" ht="29" x14ac:dyDescent="0.35">
      <c r="A13" s="29" t="s">
        <v>191</v>
      </c>
      <c r="B13" s="30">
        <v>35</v>
      </c>
      <c r="C13" s="30">
        <v>20</v>
      </c>
      <c r="D13" s="31">
        <f t="shared" si="0"/>
        <v>7000</v>
      </c>
      <c r="E13" s="31">
        <f t="shared" si="1"/>
        <v>3500</v>
      </c>
      <c r="F13" s="31">
        <f t="shared" si="2"/>
        <v>10500</v>
      </c>
      <c r="G13" s="31">
        <f t="shared" si="3"/>
        <v>4270</v>
      </c>
      <c r="H13" s="31">
        <f t="shared" si="4"/>
        <v>2380</v>
      </c>
      <c r="I13" s="31">
        <f t="shared" si="5"/>
        <v>6650</v>
      </c>
      <c r="J13" s="31">
        <v>254</v>
      </c>
      <c r="K13" s="35">
        <f t="shared" si="6"/>
        <v>6396</v>
      </c>
      <c r="L13" s="30" t="s">
        <v>192</v>
      </c>
    </row>
    <row r="14" spans="1:12" ht="29" x14ac:dyDescent="0.35">
      <c r="A14" s="29" t="s">
        <v>193</v>
      </c>
      <c r="B14" s="30">
        <v>35</v>
      </c>
      <c r="C14" s="30">
        <v>20</v>
      </c>
      <c r="D14" s="31">
        <f t="shared" si="0"/>
        <v>7000</v>
      </c>
      <c r="E14" s="31">
        <f t="shared" si="1"/>
        <v>3500</v>
      </c>
      <c r="F14" s="31">
        <f t="shared" si="2"/>
        <v>10500</v>
      </c>
      <c r="G14" s="31">
        <f t="shared" si="3"/>
        <v>4270</v>
      </c>
      <c r="H14" s="31">
        <f t="shared" si="4"/>
        <v>2380</v>
      </c>
      <c r="I14" s="31">
        <f t="shared" si="5"/>
        <v>6650</v>
      </c>
      <c r="J14" s="31">
        <v>197</v>
      </c>
      <c r="K14" s="35">
        <f t="shared" si="6"/>
        <v>6453</v>
      </c>
      <c r="L14" s="30" t="s">
        <v>192</v>
      </c>
    </row>
    <row r="15" spans="1:12" ht="29" x14ac:dyDescent="0.35">
      <c r="A15" s="29" t="s">
        <v>194</v>
      </c>
      <c r="B15" s="30">
        <v>35</v>
      </c>
      <c r="C15" s="30">
        <v>24</v>
      </c>
      <c r="D15" s="31">
        <f t="shared" si="0"/>
        <v>7000</v>
      </c>
      <c r="E15" s="31">
        <f t="shared" si="1"/>
        <v>4200</v>
      </c>
      <c r="F15" s="31">
        <f t="shared" si="2"/>
        <v>11200</v>
      </c>
      <c r="G15" s="31">
        <f t="shared" si="3"/>
        <v>4270</v>
      </c>
      <c r="H15" s="31">
        <f t="shared" si="4"/>
        <v>2772</v>
      </c>
      <c r="I15" s="31">
        <f t="shared" si="5"/>
        <v>7042</v>
      </c>
      <c r="J15" s="31">
        <v>254</v>
      </c>
      <c r="K15" s="35">
        <f t="shared" si="6"/>
        <v>6788</v>
      </c>
      <c r="L15" s="30" t="s">
        <v>192</v>
      </c>
    </row>
    <row r="18" spans="1:12" x14ac:dyDescent="0.35">
      <c r="A18" s="39" t="s">
        <v>195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spans="1:12" x14ac:dyDescent="0.35">
      <c r="A19" s="39" t="s">
        <v>196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</row>
    <row r="20" spans="1:12" x14ac:dyDescent="0.35">
      <c r="A20" s="39" t="s">
        <v>197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2" x14ac:dyDescent="0.35">
      <c r="A21" s="39" t="s">
        <v>198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x14ac:dyDescent="0.35">
      <c r="A22" s="39" t="s">
        <v>199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spans="1:12" x14ac:dyDescent="0.35">
      <c r="A23" s="39" t="s">
        <v>200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spans="1:12" x14ac:dyDescent="0.35">
      <c r="A24" s="39" t="s">
        <v>201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</row>
  </sheetData>
  <mergeCells count="8">
    <mergeCell ref="A20:L20"/>
    <mergeCell ref="A24:L24"/>
    <mergeCell ref="A19:L19"/>
    <mergeCell ref="A1:L1"/>
    <mergeCell ref="A23:L23"/>
    <mergeCell ref="A22:L22"/>
    <mergeCell ref="A18:L18"/>
    <mergeCell ref="A21:L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Übersicht</vt:lpstr>
      <vt:lpstr>V1 Beide Vollzeit</vt:lpstr>
      <vt:lpstr>V2 Dom 50%</vt:lpstr>
      <vt:lpstr>V3 Beide 35h</vt:lpstr>
      <vt:lpstr>V4 Paul 28h</vt:lpstr>
      <vt:lpstr>V5 Paul 21h</vt:lpstr>
      <vt:lpstr>V6 TM 5d Vollzeit</vt:lpstr>
      <vt:lpstr>V7 TM 5d Beide 35h</vt:lpstr>
      <vt:lpstr>V8 TM 3d Paul28 Dom50</vt:lpstr>
      <vt:lpstr>V9 TM 2d Paul21 Dom50</vt:lpstr>
      <vt:lpstr>V10 TM 20h Paul35-4d</vt:lpstr>
      <vt:lpstr>V11 TM 16h Paul35-4d</vt:lpstr>
      <vt:lpstr>V12 TM 24h Paul35-4d</vt:lpstr>
      <vt:lpstr>Vergleich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Elias Ruppersberg</cp:lastModifiedBy>
  <dcterms:created xsi:type="dcterms:W3CDTF">2026-04-28T19:17:38Z</dcterms:created>
  <dcterms:modified xsi:type="dcterms:W3CDTF">2026-04-28T19:25:57Z</dcterms:modified>
</cp:coreProperties>
</file>